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files\dlamalle\Documents\Perso\Pompiers\PlanningGardesPompiers\"/>
    </mc:Choice>
  </mc:AlternateContent>
  <bookViews>
    <workbookView xWindow="0" yWindow="0" windowWidth="28800" windowHeight="18000" activeTab="1"/>
  </bookViews>
  <sheets>
    <sheet name="Administratif" sheetId="1" r:id="rId1"/>
    <sheet name="Import_GoogleForm" sheetId="2" r:id="rId2"/>
    <sheet name="Besoins" sheetId="7" r:id="rId3"/>
    <sheet name="Weekend" sheetId="5" r:id="rId4"/>
    <sheet name="Semaine" sheetId="6" r:id="rId5"/>
    <sheet name="RecapSemaine" sheetId="4" r:id="rId6"/>
    <sheet name="Stats" sheetId="3" r:id="rId7"/>
  </sheets>
  <externalReferences>
    <externalReference r:id="rId8"/>
  </externalReferences>
  <definedNames>
    <definedName name="Import_Nom">Import_GoogleForm!$B$7:$B$107</definedName>
  </definedNames>
  <calcPr calcId="152511" calcMode="manual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4" l="1"/>
  <c r="J3" i="4"/>
  <c r="I3" i="4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7" i="2"/>
  <c r="C4" i="2"/>
  <c r="H4" i="2" s="1"/>
  <c r="M4" i="2" s="1"/>
  <c r="R4" i="2" s="1"/>
  <c r="W4" i="2" s="1"/>
  <c r="AB4" i="2" s="1"/>
  <c r="AG4" i="2" s="1"/>
  <c r="S3" i="2"/>
  <c r="C53" i="4"/>
  <c r="C52" i="4"/>
  <c r="E50" i="4" a="1"/>
  <c r="V54" i="4" s="1"/>
  <c r="C46" i="4"/>
  <c r="C45" i="4"/>
  <c r="E43" i="4" a="1"/>
  <c r="P47" i="4" s="1"/>
  <c r="C39" i="4"/>
  <c r="C38" i="4"/>
  <c r="E36" i="4" a="1"/>
  <c r="L38" i="4" s="1"/>
  <c r="C32" i="4"/>
  <c r="C31" i="4"/>
  <c r="E29" i="4" a="1"/>
  <c r="I29" i="4" s="1"/>
  <c r="Q29" i="4"/>
  <c r="M30" i="4"/>
  <c r="I31" i="4"/>
  <c r="E32" i="4"/>
  <c r="X32" i="4"/>
  <c r="C25" i="4"/>
  <c r="C24" i="4"/>
  <c r="E22" i="4" a="1"/>
  <c r="M22" i="4" s="1"/>
  <c r="I23" i="4"/>
  <c r="U24" i="4"/>
  <c r="C18" i="4"/>
  <c r="C17" i="4"/>
  <c r="E15" i="4" a="1"/>
  <c r="H15" i="4" s="1"/>
  <c r="P15" i="4"/>
  <c r="L16" i="4"/>
  <c r="H17" i="4"/>
  <c r="X17" i="4"/>
  <c r="T18" i="4"/>
  <c r="U19" i="4"/>
  <c r="C11" i="4"/>
  <c r="C10" i="4"/>
  <c r="Y8" i="4"/>
  <c r="E8" i="4" a="1"/>
  <c r="X12" i="4" s="1"/>
  <c r="D14" i="4"/>
  <c r="D21" i="4"/>
  <c r="D28" i="4" s="1"/>
  <c r="D35" i="4" s="1"/>
  <c r="D42" i="4" s="1"/>
  <c r="D49" i="4" s="1"/>
  <c r="L3" i="4"/>
  <c r="Y62" i="3"/>
  <c r="X62" i="3"/>
  <c r="C62" i="3" s="1"/>
  <c r="W62" i="3"/>
  <c r="Q62" i="3"/>
  <c r="T62" i="3"/>
  <c r="B62" i="3"/>
  <c r="V62" i="3"/>
  <c r="U62" i="3"/>
  <c r="S62" i="3"/>
  <c r="D62" i="3"/>
  <c r="R62" i="3"/>
  <c r="Y61" i="3"/>
  <c r="X61" i="3"/>
  <c r="C61" i="3" s="1"/>
  <c r="W61" i="3"/>
  <c r="Q61" i="3"/>
  <c r="T61" i="3"/>
  <c r="B61" i="3"/>
  <c r="V61" i="3"/>
  <c r="U61" i="3"/>
  <c r="S61" i="3"/>
  <c r="D61" i="3"/>
  <c r="R61" i="3"/>
  <c r="Y60" i="3"/>
  <c r="X60" i="3"/>
  <c r="C60" i="3" s="1"/>
  <c r="W60" i="3"/>
  <c r="Q60" i="3"/>
  <c r="T60" i="3"/>
  <c r="B60" i="3"/>
  <c r="V60" i="3"/>
  <c r="U60" i="3"/>
  <c r="S60" i="3"/>
  <c r="D60" i="3"/>
  <c r="R60" i="3"/>
  <c r="Y59" i="3"/>
  <c r="X59" i="3"/>
  <c r="W59" i="3"/>
  <c r="Q59" i="3"/>
  <c r="T59" i="3"/>
  <c r="B59" i="3"/>
  <c r="V59" i="3"/>
  <c r="U59" i="3"/>
  <c r="S59" i="3"/>
  <c r="D59" i="3"/>
  <c r="R59" i="3"/>
  <c r="C59" i="3" s="1"/>
  <c r="Y58" i="3"/>
  <c r="X58" i="3"/>
  <c r="W58" i="3"/>
  <c r="Q58" i="3"/>
  <c r="T58" i="3"/>
  <c r="B58" i="3"/>
  <c r="V58" i="3"/>
  <c r="U58" i="3"/>
  <c r="S58" i="3"/>
  <c r="D58" i="3"/>
  <c r="R58" i="3"/>
  <c r="C58" i="3" s="1"/>
  <c r="Y57" i="3"/>
  <c r="X57" i="3"/>
  <c r="W57" i="3"/>
  <c r="Q57" i="3"/>
  <c r="T57" i="3"/>
  <c r="B57" i="3"/>
  <c r="V57" i="3"/>
  <c r="U57" i="3"/>
  <c r="S57" i="3"/>
  <c r="D57" i="3"/>
  <c r="R57" i="3"/>
  <c r="C57" i="3" s="1"/>
  <c r="Y56" i="3"/>
  <c r="X56" i="3"/>
  <c r="W56" i="3"/>
  <c r="Q56" i="3"/>
  <c r="T56" i="3"/>
  <c r="B56" i="3"/>
  <c r="V56" i="3"/>
  <c r="U56" i="3"/>
  <c r="S56" i="3"/>
  <c r="D56" i="3"/>
  <c r="R56" i="3"/>
  <c r="C56" i="3" s="1"/>
  <c r="Y55" i="3"/>
  <c r="X55" i="3"/>
  <c r="W55" i="3"/>
  <c r="Q55" i="3"/>
  <c r="T55" i="3"/>
  <c r="B55" i="3"/>
  <c r="V55" i="3"/>
  <c r="U55" i="3"/>
  <c r="S55" i="3"/>
  <c r="D55" i="3"/>
  <c r="R55" i="3"/>
  <c r="C55" i="3" s="1"/>
  <c r="Y54" i="3"/>
  <c r="X54" i="3"/>
  <c r="W54" i="3"/>
  <c r="Q54" i="3"/>
  <c r="T54" i="3"/>
  <c r="B54" i="3"/>
  <c r="V54" i="3"/>
  <c r="U54" i="3"/>
  <c r="S54" i="3"/>
  <c r="D54" i="3"/>
  <c r="R54" i="3"/>
  <c r="C54" i="3" s="1"/>
  <c r="Y53" i="3"/>
  <c r="X53" i="3"/>
  <c r="W53" i="3"/>
  <c r="Q53" i="3"/>
  <c r="T53" i="3"/>
  <c r="B53" i="3"/>
  <c r="V53" i="3"/>
  <c r="U53" i="3"/>
  <c r="S53" i="3"/>
  <c r="D53" i="3"/>
  <c r="R53" i="3"/>
  <c r="C53" i="3" s="1"/>
  <c r="Y52" i="3"/>
  <c r="X52" i="3"/>
  <c r="W52" i="3"/>
  <c r="Q52" i="3"/>
  <c r="T52" i="3"/>
  <c r="B52" i="3"/>
  <c r="V52" i="3"/>
  <c r="U52" i="3"/>
  <c r="S52" i="3"/>
  <c r="D52" i="3"/>
  <c r="R52" i="3"/>
  <c r="C52" i="3" s="1"/>
  <c r="Y51" i="3"/>
  <c r="X51" i="3"/>
  <c r="W51" i="3"/>
  <c r="Q51" i="3"/>
  <c r="T51" i="3"/>
  <c r="B51" i="3"/>
  <c r="V51" i="3"/>
  <c r="U51" i="3"/>
  <c r="S51" i="3"/>
  <c r="D51" i="3"/>
  <c r="R51" i="3"/>
  <c r="C51" i="3" s="1"/>
  <c r="Y50" i="3"/>
  <c r="X50" i="3"/>
  <c r="W50" i="3"/>
  <c r="Q50" i="3"/>
  <c r="T50" i="3"/>
  <c r="B50" i="3"/>
  <c r="V50" i="3"/>
  <c r="U50" i="3"/>
  <c r="S50" i="3"/>
  <c r="D50" i="3"/>
  <c r="R50" i="3"/>
  <c r="Y49" i="3"/>
  <c r="X49" i="3"/>
  <c r="W49" i="3"/>
  <c r="Q49" i="3"/>
  <c r="T49" i="3"/>
  <c r="B49" i="3"/>
  <c r="V49" i="3"/>
  <c r="U49" i="3"/>
  <c r="S49" i="3"/>
  <c r="D49" i="3"/>
  <c r="R49" i="3"/>
  <c r="C49" i="3" s="1"/>
  <c r="Y48" i="3"/>
  <c r="X48" i="3"/>
  <c r="W48" i="3"/>
  <c r="Q48" i="3"/>
  <c r="T48" i="3"/>
  <c r="B48" i="3"/>
  <c r="V48" i="3"/>
  <c r="U48" i="3"/>
  <c r="S48" i="3"/>
  <c r="D48" i="3"/>
  <c r="R48" i="3"/>
  <c r="Y47" i="3"/>
  <c r="X47" i="3"/>
  <c r="W47" i="3"/>
  <c r="Q47" i="3"/>
  <c r="T47" i="3"/>
  <c r="B47" i="3"/>
  <c r="V47" i="3"/>
  <c r="U47" i="3"/>
  <c r="S47" i="3"/>
  <c r="D47" i="3"/>
  <c r="R47" i="3"/>
  <c r="C47" i="3" s="1"/>
  <c r="Y46" i="3"/>
  <c r="X46" i="3"/>
  <c r="W46" i="3"/>
  <c r="Q46" i="3"/>
  <c r="T46" i="3"/>
  <c r="B46" i="3"/>
  <c r="V46" i="3"/>
  <c r="U46" i="3"/>
  <c r="S46" i="3"/>
  <c r="D46" i="3"/>
  <c r="R46" i="3"/>
  <c r="Y45" i="3"/>
  <c r="X45" i="3"/>
  <c r="W45" i="3"/>
  <c r="Q45" i="3"/>
  <c r="T45" i="3"/>
  <c r="B45" i="3"/>
  <c r="V45" i="3"/>
  <c r="U45" i="3"/>
  <c r="S45" i="3"/>
  <c r="D45" i="3"/>
  <c r="R45" i="3"/>
  <c r="C45" i="3" s="1"/>
  <c r="Y44" i="3"/>
  <c r="X44" i="3"/>
  <c r="W44" i="3"/>
  <c r="Q44" i="3"/>
  <c r="T44" i="3"/>
  <c r="B44" i="3"/>
  <c r="V44" i="3"/>
  <c r="U44" i="3"/>
  <c r="S44" i="3"/>
  <c r="D44" i="3"/>
  <c r="R44" i="3"/>
  <c r="Y43" i="3"/>
  <c r="X43" i="3"/>
  <c r="W43" i="3"/>
  <c r="Q43" i="3"/>
  <c r="T43" i="3"/>
  <c r="B43" i="3"/>
  <c r="V43" i="3"/>
  <c r="U43" i="3"/>
  <c r="S43" i="3"/>
  <c r="D43" i="3"/>
  <c r="R43" i="3"/>
  <c r="C43" i="3" s="1"/>
  <c r="Y42" i="3"/>
  <c r="X42" i="3"/>
  <c r="W42" i="3"/>
  <c r="Q42" i="3"/>
  <c r="T42" i="3"/>
  <c r="B42" i="3"/>
  <c r="V42" i="3"/>
  <c r="U42" i="3"/>
  <c r="S42" i="3"/>
  <c r="D42" i="3"/>
  <c r="R42" i="3"/>
  <c r="C42" i="3" s="1"/>
  <c r="Y41" i="3"/>
  <c r="X41" i="3"/>
  <c r="W41" i="3"/>
  <c r="Q41" i="3"/>
  <c r="T41" i="3"/>
  <c r="B41" i="3"/>
  <c r="V41" i="3"/>
  <c r="U41" i="3"/>
  <c r="S41" i="3"/>
  <c r="D41" i="3"/>
  <c r="R41" i="3"/>
  <c r="C41" i="3" s="1"/>
  <c r="Y40" i="3"/>
  <c r="X40" i="3"/>
  <c r="W40" i="3"/>
  <c r="Q40" i="3"/>
  <c r="T40" i="3"/>
  <c r="B40" i="3"/>
  <c r="V40" i="3"/>
  <c r="U40" i="3"/>
  <c r="S40" i="3"/>
  <c r="D40" i="3"/>
  <c r="R40" i="3"/>
  <c r="Y39" i="3"/>
  <c r="X39" i="3"/>
  <c r="W39" i="3"/>
  <c r="Q39" i="3"/>
  <c r="T39" i="3"/>
  <c r="B39" i="3"/>
  <c r="V39" i="3"/>
  <c r="U39" i="3"/>
  <c r="S39" i="3"/>
  <c r="D39" i="3"/>
  <c r="R39" i="3"/>
  <c r="C39" i="3" s="1"/>
  <c r="Y38" i="3"/>
  <c r="X38" i="3"/>
  <c r="W38" i="3"/>
  <c r="Q38" i="3"/>
  <c r="T38" i="3"/>
  <c r="B38" i="3"/>
  <c r="V38" i="3"/>
  <c r="U38" i="3"/>
  <c r="S38" i="3"/>
  <c r="D38" i="3"/>
  <c r="R38" i="3"/>
  <c r="C38" i="3" s="1"/>
  <c r="Y37" i="3"/>
  <c r="X37" i="3"/>
  <c r="W37" i="3"/>
  <c r="Q37" i="3"/>
  <c r="T37" i="3"/>
  <c r="B37" i="3"/>
  <c r="V37" i="3"/>
  <c r="U37" i="3"/>
  <c r="S37" i="3"/>
  <c r="D37" i="3"/>
  <c r="R37" i="3"/>
  <c r="C37" i="3" s="1"/>
  <c r="Y36" i="3"/>
  <c r="X36" i="3"/>
  <c r="W36" i="3"/>
  <c r="Q36" i="3"/>
  <c r="T36" i="3"/>
  <c r="B36" i="3"/>
  <c r="V36" i="3"/>
  <c r="U36" i="3"/>
  <c r="S36" i="3"/>
  <c r="D36" i="3"/>
  <c r="R36" i="3"/>
  <c r="Y35" i="3"/>
  <c r="X35" i="3"/>
  <c r="W35" i="3"/>
  <c r="Q35" i="3"/>
  <c r="T35" i="3"/>
  <c r="B35" i="3"/>
  <c r="V35" i="3"/>
  <c r="U35" i="3"/>
  <c r="S35" i="3"/>
  <c r="D35" i="3"/>
  <c r="R35" i="3"/>
  <c r="C35" i="3" s="1"/>
  <c r="Y34" i="3"/>
  <c r="X34" i="3"/>
  <c r="W34" i="3"/>
  <c r="Q34" i="3"/>
  <c r="T34" i="3"/>
  <c r="B34" i="3"/>
  <c r="V34" i="3"/>
  <c r="U34" i="3"/>
  <c r="S34" i="3"/>
  <c r="D34" i="3"/>
  <c r="R34" i="3"/>
  <c r="C34" i="3" s="1"/>
  <c r="Y33" i="3"/>
  <c r="X33" i="3"/>
  <c r="W33" i="3"/>
  <c r="Q33" i="3"/>
  <c r="T33" i="3"/>
  <c r="B33" i="3"/>
  <c r="V33" i="3"/>
  <c r="U33" i="3"/>
  <c r="S33" i="3"/>
  <c r="D33" i="3"/>
  <c r="R33" i="3"/>
  <c r="C33" i="3" s="1"/>
  <c r="Y32" i="3"/>
  <c r="X32" i="3"/>
  <c r="W32" i="3"/>
  <c r="Q32" i="3"/>
  <c r="T32" i="3"/>
  <c r="B32" i="3"/>
  <c r="V32" i="3"/>
  <c r="U32" i="3"/>
  <c r="S32" i="3"/>
  <c r="D32" i="3"/>
  <c r="R32" i="3"/>
  <c r="Y31" i="3"/>
  <c r="X31" i="3"/>
  <c r="W31" i="3"/>
  <c r="Q31" i="3"/>
  <c r="T31" i="3"/>
  <c r="B31" i="3"/>
  <c r="V31" i="3"/>
  <c r="U31" i="3"/>
  <c r="S31" i="3"/>
  <c r="D31" i="3"/>
  <c r="R31" i="3"/>
  <c r="C31" i="3" s="1"/>
  <c r="Y30" i="3"/>
  <c r="X30" i="3"/>
  <c r="W30" i="3"/>
  <c r="Q30" i="3"/>
  <c r="T30" i="3"/>
  <c r="B30" i="3"/>
  <c r="V30" i="3"/>
  <c r="U30" i="3"/>
  <c r="S30" i="3"/>
  <c r="D30" i="3"/>
  <c r="R30" i="3"/>
  <c r="C30" i="3" s="1"/>
  <c r="Y29" i="3"/>
  <c r="X29" i="3"/>
  <c r="W29" i="3"/>
  <c r="Q29" i="3"/>
  <c r="T29" i="3"/>
  <c r="B29" i="3"/>
  <c r="V29" i="3"/>
  <c r="U29" i="3"/>
  <c r="S29" i="3"/>
  <c r="D29" i="3"/>
  <c r="R29" i="3"/>
  <c r="C29" i="3" s="1"/>
  <c r="Y28" i="3"/>
  <c r="X28" i="3"/>
  <c r="W28" i="3"/>
  <c r="Q28" i="3"/>
  <c r="T28" i="3"/>
  <c r="B28" i="3"/>
  <c r="V28" i="3"/>
  <c r="U28" i="3"/>
  <c r="S28" i="3"/>
  <c r="D28" i="3"/>
  <c r="R28" i="3"/>
  <c r="Y27" i="3"/>
  <c r="X27" i="3"/>
  <c r="W27" i="3"/>
  <c r="Q27" i="3"/>
  <c r="T27" i="3"/>
  <c r="B27" i="3"/>
  <c r="V27" i="3"/>
  <c r="U27" i="3"/>
  <c r="S27" i="3"/>
  <c r="D27" i="3"/>
  <c r="R27" i="3"/>
  <c r="C27" i="3" s="1"/>
  <c r="Y26" i="3"/>
  <c r="X26" i="3"/>
  <c r="W26" i="3"/>
  <c r="Q26" i="3"/>
  <c r="T26" i="3"/>
  <c r="B26" i="3"/>
  <c r="V26" i="3"/>
  <c r="U26" i="3"/>
  <c r="S26" i="3"/>
  <c r="D26" i="3"/>
  <c r="R26" i="3"/>
  <c r="C26" i="3" s="1"/>
  <c r="Y25" i="3"/>
  <c r="X25" i="3"/>
  <c r="W25" i="3"/>
  <c r="Q25" i="3"/>
  <c r="T25" i="3"/>
  <c r="B25" i="3"/>
  <c r="V25" i="3"/>
  <c r="U25" i="3"/>
  <c r="S25" i="3"/>
  <c r="D25" i="3"/>
  <c r="R25" i="3"/>
  <c r="C25" i="3" s="1"/>
  <c r="Y24" i="3"/>
  <c r="X24" i="3"/>
  <c r="W24" i="3"/>
  <c r="Q24" i="3"/>
  <c r="T24" i="3"/>
  <c r="B24" i="3"/>
  <c r="V24" i="3"/>
  <c r="U24" i="3"/>
  <c r="S24" i="3"/>
  <c r="D24" i="3"/>
  <c r="R24" i="3"/>
  <c r="Y23" i="3"/>
  <c r="X23" i="3"/>
  <c r="W23" i="3"/>
  <c r="Q23" i="3"/>
  <c r="T23" i="3"/>
  <c r="B23" i="3"/>
  <c r="V23" i="3"/>
  <c r="U23" i="3"/>
  <c r="S23" i="3"/>
  <c r="D23" i="3"/>
  <c r="R23" i="3"/>
  <c r="C23" i="3" s="1"/>
  <c r="Y22" i="3"/>
  <c r="X22" i="3"/>
  <c r="W22" i="3"/>
  <c r="Q22" i="3"/>
  <c r="T22" i="3"/>
  <c r="B22" i="3"/>
  <c r="V22" i="3"/>
  <c r="U22" i="3"/>
  <c r="S22" i="3"/>
  <c r="D22" i="3"/>
  <c r="R22" i="3"/>
  <c r="C22" i="3" s="1"/>
  <c r="Y21" i="3"/>
  <c r="X21" i="3"/>
  <c r="W21" i="3"/>
  <c r="Q21" i="3"/>
  <c r="T21" i="3"/>
  <c r="B21" i="3"/>
  <c r="V21" i="3"/>
  <c r="U21" i="3"/>
  <c r="S21" i="3"/>
  <c r="D21" i="3"/>
  <c r="R21" i="3"/>
  <c r="C21" i="3" s="1"/>
  <c r="Y20" i="3"/>
  <c r="X20" i="3"/>
  <c r="W20" i="3"/>
  <c r="Q20" i="3"/>
  <c r="T20" i="3"/>
  <c r="B20" i="3"/>
  <c r="V20" i="3"/>
  <c r="U20" i="3"/>
  <c r="S20" i="3"/>
  <c r="D20" i="3"/>
  <c r="R20" i="3"/>
  <c r="Y19" i="3"/>
  <c r="X19" i="3"/>
  <c r="W19" i="3"/>
  <c r="Q19" i="3"/>
  <c r="T19" i="3"/>
  <c r="B19" i="3"/>
  <c r="V19" i="3"/>
  <c r="U19" i="3"/>
  <c r="S19" i="3"/>
  <c r="D19" i="3"/>
  <c r="R19" i="3"/>
  <c r="C19" i="3" s="1"/>
  <c r="Y18" i="3"/>
  <c r="X18" i="3"/>
  <c r="W18" i="3"/>
  <c r="Q18" i="3"/>
  <c r="T18" i="3"/>
  <c r="B18" i="3"/>
  <c r="V18" i="3"/>
  <c r="U18" i="3"/>
  <c r="S18" i="3"/>
  <c r="D18" i="3"/>
  <c r="R18" i="3"/>
  <c r="C18" i="3" s="1"/>
  <c r="Y17" i="3"/>
  <c r="X17" i="3"/>
  <c r="W17" i="3"/>
  <c r="Q17" i="3"/>
  <c r="T17" i="3"/>
  <c r="B17" i="3"/>
  <c r="V17" i="3"/>
  <c r="U17" i="3"/>
  <c r="S17" i="3"/>
  <c r="D17" i="3"/>
  <c r="R17" i="3"/>
  <c r="C17" i="3" s="1"/>
  <c r="Y16" i="3"/>
  <c r="X16" i="3"/>
  <c r="W16" i="3"/>
  <c r="Q16" i="3"/>
  <c r="T16" i="3"/>
  <c r="B16" i="3"/>
  <c r="V16" i="3"/>
  <c r="U16" i="3"/>
  <c r="S16" i="3"/>
  <c r="D16" i="3"/>
  <c r="R16" i="3"/>
  <c r="Y15" i="3"/>
  <c r="X15" i="3"/>
  <c r="W15" i="3"/>
  <c r="B15" i="3" s="1"/>
  <c r="Q15" i="3"/>
  <c r="T15" i="3"/>
  <c r="V15" i="3"/>
  <c r="D15" i="3" s="1"/>
  <c r="U15" i="3"/>
  <c r="S15" i="3"/>
  <c r="R15" i="3"/>
  <c r="C15" i="3" s="1"/>
  <c r="Y14" i="3"/>
  <c r="X14" i="3"/>
  <c r="W14" i="3"/>
  <c r="B14" i="3" s="1"/>
  <c r="Q14" i="3"/>
  <c r="T14" i="3"/>
  <c r="V14" i="3"/>
  <c r="D14" i="3" s="1"/>
  <c r="U14" i="3"/>
  <c r="S14" i="3"/>
  <c r="R14" i="3"/>
  <c r="C14" i="3" s="1"/>
  <c r="Y13" i="3"/>
  <c r="X13" i="3"/>
  <c r="W13" i="3"/>
  <c r="B13" i="3" s="1"/>
  <c r="Q13" i="3"/>
  <c r="T13" i="3"/>
  <c r="V13" i="3"/>
  <c r="D13" i="3" s="1"/>
  <c r="U13" i="3"/>
  <c r="S13" i="3"/>
  <c r="R13" i="3"/>
  <c r="C13" i="3" s="1"/>
  <c r="Y12" i="3"/>
  <c r="X12" i="3"/>
  <c r="W12" i="3"/>
  <c r="Q12" i="3"/>
  <c r="T12" i="3"/>
  <c r="B12" i="3"/>
  <c r="V12" i="3"/>
  <c r="U12" i="3"/>
  <c r="S12" i="3"/>
  <c r="D12" i="3"/>
  <c r="R12" i="3"/>
  <c r="Y11" i="3"/>
  <c r="X11" i="3"/>
  <c r="W11" i="3"/>
  <c r="B11" i="3" s="1"/>
  <c r="Q11" i="3"/>
  <c r="T11" i="3"/>
  <c r="V11" i="3"/>
  <c r="D11" i="3" s="1"/>
  <c r="U11" i="3"/>
  <c r="S11" i="3"/>
  <c r="R11" i="3"/>
  <c r="C11" i="3" s="1"/>
  <c r="Y10" i="3"/>
  <c r="X10" i="3"/>
  <c r="W10" i="3"/>
  <c r="B10" i="3" s="1"/>
  <c r="Q10" i="3"/>
  <c r="T10" i="3"/>
  <c r="V10" i="3"/>
  <c r="D10" i="3" s="1"/>
  <c r="U10" i="3"/>
  <c r="S10" i="3"/>
  <c r="R10" i="3"/>
  <c r="C10" i="3" s="1"/>
  <c r="Y9" i="3"/>
  <c r="X9" i="3"/>
  <c r="W9" i="3"/>
  <c r="B9" i="3" s="1"/>
  <c r="Q9" i="3"/>
  <c r="T9" i="3"/>
  <c r="V9" i="3"/>
  <c r="D9" i="3" s="1"/>
  <c r="U9" i="3"/>
  <c r="S9" i="3"/>
  <c r="R9" i="3"/>
  <c r="C9" i="3" s="1"/>
  <c r="Y8" i="3"/>
  <c r="X8" i="3"/>
  <c r="W8" i="3"/>
  <c r="Q8" i="3"/>
  <c r="T8" i="3"/>
  <c r="B8" i="3"/>
  <c r="V8" i="3"/>
  <c r="U8" i="3"/>
  <c r="S8" i="3"/>
  <c r="D8" i="3"/>
  <c r="R8" i="3"/>
  <c r="Y7" i="3"/>
  <c r="X7" i="3"/>
  <c r="W7" i="3"/>
  <c r="B7" i="3" s="1"/>
  <c r="Q7" i="3"/>
  <c r="T7" i="3"/>
  <c r="V7" i="3"/>
  <c r="D7" i="3" s="1"/>
  <c r="U7" i="3"/>
  <c r="S7" i="3"/>
  <c r="R7" i="3"/>
  <c r="C7" i="3" s="1"/>
  <c r="Y6" i="3"/>
  <c r="X6" i="3"/>
  <c r="W6" i="3"/>
  <c r="B6" i="3" s="1"/>
  <c r="Q6" i="3"/>
  <c r="T6" i="3"/>
  <c r="V6" i="3"/>
  <c r="D6" i="3" s="1"/>
  <c r="U6" i="3"/>
  <c r="S6" i="3"/>
  <c r="R6" i="3"/>
  <c r="C6" i="3" s="1"/>
  <c r="Y5" i="3"/>
  <c r="X5" i="3"/>
  <c r="W5" i="3"/>
  <c r="B5" i="3" s="1"/>
  <c r="Q5" i="3"/>
  <c r="T5" i="3"/>
  <c r="V5" i="3"/>
  <c r="D5" i="3" s="1"/>
  <c r="U5" i="3"/>
  <c r="S5" i="3"/>
  <c r="R5" i="3"/>
  <c r="C5" i="3" s="1"/>
  <c r="Y4" i="3"/>
  <c r="Y63" i="3"/>
  <c r="X4" i="3"/>
  <c r="W4" i="3"/>
  <c r="W63" i="3" s="1"/>
  <c r="Q4" i="3"/>
  <c r="T4" i="3"/>
  <c r="T63" i="3" s="1"/>
  <c r="V4" i="3"/>
  <c r="U4" i="3"/>
  <c r="U63" i="3" s="1"/>
  <c r="S4" i="3"/>
  <c r="S63" i="3"/>
  <c r="R4" i="3"/>
  <c r="R63" i="3"/>
  <c r="H2" i="3"/>
  <c r="K2" i="3"/>
  <c r="N2" i="3" s="1"/>
  <c r="Q2" i="3" s="1"/>
  <c r="T2" i="3" s="1"/>
  <c r="W2" i="3" s="1"/>
  <c r="Z2" i="3" s="1"/>
  <c r="AC2" i="3" s="1"/>
  <c r="AF2" i="3" s="1"/>
  <c r="AI2" i="3" s="1"/>
  <c r="AL2" i="3" s="1"/>
  <c r="AO2" i="3" s="1"/>
  <c r="AR2" i="3" s="1"/>
  <c r="AU2" i="3" s="1"/>
  <c r="AX2" i="3" s="1"/>
  <c r="BA2" i="3" s="1"/>
  <c r="BD2" i="3" s="1"/>
  <c r="BG2" i="3" s="1"/>
  <c r="BJ2" i="3" s="1"/>
  <c r="BM2" i="3" s="1"/>
  <c r="BP2" i="3" s="1"/>
  <c r="BS2" i="3" s="1"/>
  <c r="BV2" i="3" s="1"/>
  <c r="BY2" i="3" s="1"/>
  <c r="CB2" i="3" s="1"/>
  <c r="CE2" i="3" s="1"/>
  <c r="CH2" i="3" s="1"/>
  <c r="CK2" i="3" s="1"/>
  <c r="CN2" i="3" s="1"/>
  <c r="CQ2" i="3" s="1"/>
  <c r="CT2" i="3" s="1"/>
  <c r="CW2" i="3" s="1"/>
  <c r="CZ2" i="3" s="1"/>
  <c r="DC2" i="3" s="1"/>
  <c r="DF2" i="3" s="1"/>
  <c r="DI2" i="3" s="1"/>
  <c r="DL2" i="3" s="1"/>
  <c r="DO2" i="3" s="1"/>
  <c r="DR2" i="3" s="1"/>
  <c r="DU2" i="3" s="1"/>
  <c r="DX2" i="3" s="1"/>
  <c r="EA2" i="3" s="1"/>
  <c r="ED2" i="3" s="1"/>
  <c r="EG2" i="3" s="1"/>
  <c r="EJ2" i="3" s="1"/>
  <c r="EM2" i="3" s="1"/>
  <c r="EP2" i="3" s="1"/>
  <c r="ES2" i="3" s="1"/>
  <c r="EV2" i="3" s="1"/>
  <c r="EY2" i="3" s="1"/>
  <c r="FB2" i="3" s="1"/>
  <c r="E8" i="4"/>
  <c r="I8" i="4"/>
  <c r="M8" i="4"/>
  <c r="Q8" i="4"/>
  <c r="U8" i="4"/>
  <c r="E9" i="4"/>
  <c r="I9" i="4"/>
  <c r="M9" i="4"/>
  <c r="Q9" i="4"/>
  <c r="U9" i="4"/>
  <c r="E10" i="4"/>
  <c r="I10" i="4"/>
  <c r="M10" i="4"/>
  <c r="Q10" i="4"/>
  <c r="U10" i="4"/>
  <c r="E11" i="4"/>
  <c r="I11" i="4"/>
  <c r="M11" i="4"/>
  <c r="Q11" i="4"/>
  <c r="U11" i="4"/>
  <c r="E12" i="4"/>
  <c r="I12" i="4"/>
  <c r="M12" i="4"/>
  <c r="Q12" i="4"/>
  <c r="U12" i="4"/>
  <c r="W26" i="4"/>
  <c r="S26" i="4"/>
  <c r="O26" i="4"/>
  <c r="K26" i="4"/>
  <c r="G26" i="4"/>
  <c r="W25" i="4"/>
  <c r="S25" i="4"/>
  <c r="O25" i="4"/>
  <c r="K25" i="4"/>
  <c r="G25" i="4"/>
  <c r="W24" i="4"/>
  <c r="S24" i="4"/>
  <c r="O24" i="4"/>
  <c r="K24" i="4"/>
  <c r="G24" i="4"/>
  <c r="W23" i="4"/>
  <c r="S23" i="4"/>
  <c r="O23" i="4"/>
  <c r="K23" i="4"/>
  <c r="G23" i="4"/>
  <c r="W22" i="4"/>
  <c r="S22" i="4"/>
  <c r="O22" i="4"/>
  <c r="K22" i="4"/>
  <c r="G22" i="4"/>
  <c r="V26" i="4"/>
  <c r="R26" i="4"/>
  <c r="N26" i="4"/>
  <c r="J26" i="4"/>
  <c r="F26" i="4"/>
  <c r="V25" i="4"/>
  <c r="R25" i="4"/>
  <c r="N25" i="4"/>
  <c r="J25" i="4"/>
  <c r="F25" i="4"/>
  <c r="V24" i="4"/>
  <c r="R24" i="4"/>
  <c r="N24" i="4"/>
  <c r="J24" i="4"/>
  <c r="F24" i="4"/>
  <c r="V23" i="4"/>
  <c r="R23" i="4"/>
  <c r="N23" i="4"/>
  <c r="J23" i="4"/>
  <c r="F23" i="4"/>
  <c r="V22" i="4"/>
  <c r="R22" i="4"/>
  <c r="N22" i="4"/>
  <c r="J22" i="4"/>
  <c r="F22" i="4"/>
  <c r="L22" i="4"/>
  <c r="T22" i="4"/>
  <c r="H23" i="4"/>
  <c r="P23" i="4"/>
  <c r="X23" i="4"/>
  <c r="L24" i="4"/>
  <c r="T24" i="4"/>
  <c r="H25" i="4"/>
  <c r="P25" i="4"/>
  <c r="X25" i="4"/>
  <c r="L26" i="4"/>
  <c r="T26" i="4"/>
  <c r="F8" i="4"/>
  <c r="J8" i="4"/>
  <c r="N8" i="4"/>
  <c r="R8" i="4"/>
  <c r="V8" i="4"/>
  <c r="F9" i="4"/>
  <c r="J9" i="4"/>
  <c r="N9" i="4"/>
  <c r="R9" i="4"/>
  <c r="V9" i="4"/>
  <c r="F10" i="4"/>
  <c r="J10" i="4"/>
  <c r="N10" i="4"/>
  <c r="R10" i="4"/>
  <c r="V10" i="4"/>
  <c r="F11" i="4"/>
  <c r="J11" i="4"/>
  <c r="N11" i="4"/>
  <c r="R11" i="4"/>
  <c r="V11" i="4"/>
  <c r="F12" i="4"/>
  <c r="J12" i="4"/>
  <c r="N12" i="4"/>
  <c r="R12" i="4"/>
  <c r="V12" i="4"/>
  <c r="P19" i="4"/>
  <c r="X19" i="4"/>
  <c r="Q25" i="4"/>
  <c r="E26" i="4"/>
  <c r="M26" i="4"/>
  <c r="U26" i="4"/>
  <c r="V40" i="4"/>
  <c r="R40" i="4"/>
  <c r="N40" i="4"/>
  <c r="J40" i="4"/>
  <c r="F40" i="4"/>
  <c r="V39" i="4"/>
  <c r="R39" i="4"/>
  <c r="N39" i="4"/>
  <c r="J39" i="4"/>
  <c r="F39" i="4"/>
  <c r="V38" i="4"/>
  <c r="R38" i="4"/>
  <c r="N38" i="4"/>
  <c r="J38" i="4"/>
  <c r="F38" i="4"/>
  <c r="V37" i="4"/>
  <c r="R37" i="4"/>
  <c r="N37" i="4"/>
  <c r="J37" i="4"/>
  <c r="F37" i="4"/>
  <c r="V36" i="4"/>
  <c r="R36" i="4"/>
  <c r="N36" i="4"/>
  <c r="J36" i="4"/>
  <c r="F36" i="4"/>
  <c r="U40" i="4"/>
  <c r="Q40" i="4"/>
  <c r="M40" i="4"/>
  <c r="I40" i="4"/>
  <c r="E40" i="4"/>
  <c r="U39" i="4"/>
  <c r="Q39" i="4"/>
  <c r="M39" i="4"/>
  <c r="I39" i="4"/>
  <c r="E39" i="4"/>
  <c r="U38" i="4"/>
  <c r="Q38" i="4"/>
  <c r="M38" i="4"/>
  <c r="I38" i="4"/>
  <c r="E38" i="4"/>
  <c r="U37" i="4"/>
  <c r="Q37" i="4"/>
  <c r="M37" i="4"/>
  <c r="I37" i="4"/>
  <c r="E37" i="4"/>
  <c r="U36" i="4"/>
  <c r="Q36" i="4"/>
  <c r="M36" i="4"/>
  <c r="I36" i="4"/>
  <c r="E36" i="4"/>
  <c r="W40" i="4"/>
  <c r="S40" i="4"/>
  <c r="O40" i="4"/>
  <c r="K40" i="4"/>
  <c r="G40" i="4"/>
  <c r="W39" i="4"/>
  <c r="S39" i="4"/>
  <c r="O39" i="4"/>
  <c r="K39" i="4"/>
  <c r="G39" i="4"/>
  <c r="W38" i="4"/>
  <c r="S38" i="4"/>
  <c r="O38" i="4"/>
  <c r="K38" i="4"/>
  <c r="G38" i="4"/>
  <c r="W37" i="4"/>
  <c r="S37" i="4"/>
  <c r="O37" i="4"/>
  <c r="K37" i="4"/>
  <c r="G37" i="4"/>
  <c r="W36" i="4"/>
  <c r="S36" i="4"/>
  <c r="O36" i="4"/>
  <c r="K36" i="4"/>
  <c r="G36" i="4"/>
  <c r="L40" i="4"/>
  <c r="P39" i="4"/>
  <c r="T38" i="4"/>
  <c r="X37" i="4"/>
  <c r="H37" i="4"/>
  <c r="L36" i="4"/>
  <c r="X40" i="4"/>
  <c r="H40" i="4"/>
  <c r="L39" i="4"/>
  <c r="P38" i="4"/>
  <c r="T37" i="4"/>
  <c r="X36" i="4"/>
  <c r="H36" i="4"/>
  <c r="P40" i="4"/>
  <c r="T39" i="4"/>
  <c r="X38" i="4"/>
  <c r="H38" i="4"/>
  <c r="L37" i="4"/>
  <c r="P36" i="4"/>
  <c r="H39" i="4"/>
  <c r="G8" i="4"/>
  <c r="K8" i="4"/>
  <c r="O8" i="4"/>
  <c r="S8" i="4"/>
  <c r="W8" i="4"/>
  <c r="G9" i="4"/>
  <c r="K9" i="4"/>
  <c r="O9" i="4"/>
  <c r="S9" i="4"/>
  <c r="W9" i="4"/>
  <c r="G10" i="4"/>
  <c r="K10" i="4"/>
  <c r="O10" i="4"/>
  <c r="S10" i="4"/>
  <c r="W10" i="4"/>
  <c r="G11" i="4"/>
  <c r="K11" i="4"/>
  <c r="O11" i="4"/>
  <c r="S11" i="4"/>
  <c r="W11" i="4"/>
  <c r="G12" i="4"/>
  <c r="K12" i="4"/>
  <c r="O12" i="4"/>
  <c r="S12" i="4"/>
  <c r="W12" i="4"/>
  <c r="I15" i="4"/>
  <c r="Q15" i="4"/>
  <c r="E16" i="4"/>
  <c r="M16" i="4"/>
  <c r="U16" i="4"/>
  <c r="I17" i="4"/>
  <c r="Q17" i="4"/>
  <c r="E18" i="4"/>
  <c r="M18" i="4"/>
  <c r="U18" i="4"/>
  <c r="I19" i="4"/>
  <c r="H22" i="4"/>
  <c r="P22" i="4"/>
  <c r="X22" i="4"/>
  <c r="L23" i="4"/>
  <c r="T23" i="4"/>
  <c r="H24" i="4"/>
  <c r="P24" i="4"/>
  <c r="X24" i="4"/>
  <c r="L25" i="4"/>
  <c r="T25" i="4"/>
  <c r="H26" i="4"/>
  <c r="P26" i="4"/>
  <c r="X26" i="4"/>
  <c r="T36" i="4"/>
  <c r="X39" i="4"/>
  <c r="H8" i="4"/>
  <c r="L8" i="4"/>
  <c r="P8" i="4"/>
  <c r="T8" i="4"/>
  <c r="X8" i="4"/>
  <c r="H9" i="4"/>
  <c r="L9" i="4"/>
  <c r="P9" i="4"/>
  <c r="T9" i="4"/>
  <c r="X9" i="4"/>
  <c r="H10" i="4"/>
  <c r="L10" i="4"/>
  <c r="P10" i="4"/>
  <c r="T10" i="4"/>
  <c r="X10" i="4"/>
  <c r="H11" i="4"/>
  <c r="L11" i="4"/>
  <c r="P11" i="4"/>
  <c r="T11" i="4"/>
  <c r="X11" i="4"/>
  <c r="H12" i="4"/>
  <c r="L12" i="4"/>
  <c r="P12" i="4"/>
  <c r="T12" i="4"/>
  <c r="W19" i="4"/>
  <c r="S19" i="4"/>
  <c r="O19" i="4"/>
  <c r="K19" i="4"/>
  <c r="G19" i="4"/>
  <c r="W18" i="4"/>
  <c r="S18" i="4"/>
  <c r="O18" i="4"/>
  <c r="K18" i="4"/>
  <c r="G18" i="4"/>
  <c r="W17" i="4"/>
  <c r="S17" i="4"/>
  <c r="O17" i="4"/>
  <c r="K17" i="4"/>
  <c r="G17" i="4"/>
  <c r="W16" i="4"/>
  <c r="S16" i="4"/>
  <c r="O16" i="4"/>
  <c r="K16" i="4"/>
  <c r="G16" i="4"/>
  <c r="W15" i="4"/>
  <c r="S15" i="4"/>
  <c r="O15" i="4"/>
  <c r="K15" i="4"/>
  <c r="G15" i="4"/>
  <c r="V19" i="4"/>
  <c r="R19" i="4"/>
  <c r="N19" i="4"/>
  <c r="J19" i="4"/>
  <c r="F19" i="4"/>
  <c r="V18" i="4"/>
  <c r="R18" i="4"/>
  <c r="N18" i="4"/>
  <c r="J18" i="4"/>
  <c r="F18" i="4"/>
  <c r="V17" i="4"/>
  <c r="R17" i="4"/>
  <c r="N17" i="4"/>
  <c r="J17" i="4"/>
  <c r="F17" i="4"/>
  <c r="V16" i="4"/>
  <c r="R16" i="4"/>
  <c r="N16" i="4"/>
  <c r="J16" i="4"/>
  <c r="F16" i="4"/>
  <c r="V15" i="4"/>
  <c r="R15" i="4"/>
  <c r="N15" i="4"/>
  <c r="J15" i="4"/>
  <c r="F15" i="4"/>
  <c r="L15" i="4"/>
  <c r="T15" i="4"/>
  <c r="H16" i="4"/>
  <c r="P16" i="4"/>
  <c r="X16" i="4"/>
  <c r="L17" i="4"/>
  <c r="T17" i="4"/>
  <c r="H18" i="4"/>
  <c r="P18" i="4"/>
  <c r="X18" i="4"/>
  <c r="L19" i="4"/>
  <c r="T19" i="4"/>
  <c r="I22" i="4"/>
  <c r="Q22" i="4"/>
  <c r="E23" i="4"/>
  <c r="M23" i="4"/>
  <c r="U23" i="4"/>
  <c r="I24" i="4"/>
  <c r="Q24" i="4"/>
  <c r="E25" i="4"/>
  <c r="M25" i="4"/>
  <c r="U25" i="4"/>
  <c r="I26" i="4"/>
  <c r="Q26" i="4"/>
  <c r="P37" i="4"/>
  <c r="T40" i="4"/>
  <c r="V33" i="4"/>
  <c r="R33" i="4"/>
  <c r="N33" i="4"/>
  <c r="J33" i="4"/>
  <c r="F33" i="4"/>
  <c r="U33" i="4"/>
  <c r="Q33" i="4"/>
  <c r="M33" i="4"/>
  <c r="I33" i="4"/>
  <c r="E33" i="4"/>
  <c r="U32" i="4"/>
  <c r="W33" i="4"/>
  <c r="S33" i="4"/>
  <c r="O33" i="4"/>
  <c r="K33" i="4"/>
  <c r="G33" i="4"/>
  <c r="W32" i="4"/>
  <c r="S32" i="4"/>
  <c r="H29" i="4"/>
  <c r="L29" i="4"/>
  <c r="P29" i="4"/>
  <c r="T29" i="4"/>
  <c r="X29" i="4"/>
  <c r="H30" i="4"/>
  <c r="L30" i="4"/>
  <c r="P30" i="4"/>
  <c r="T30" i="4"/>
  <c r="X30" i="4"/>
  <c r="H31" i="4"/>
  <c r="L31" i="4"/>
  <c r="P31" i="4"/>
  <c r="T31" i="4"/>
  <c r="X31" i="4"/>
  <c r="H32" i="4"/>
  <c r="L32" i="4"/>
  <c r="P32" i="4"/>
  <c r="V32" i="4"/>
  <c r="P33" i="4"/>
  <c r="P43" i="4"/>
  <c r="L44" i="4"/>
  <c r="H45" i="4"/>
  <c r="X45" i="4"/>
  <c r="T46" i="4"/>
  <c r="V47" i="4"/>
  <c r="R47" i="4"/>
  <c r="N47" i="4"/>
  <c r="J47" i="4"/>
  <c r="F47" i="4"/>
  <c r="V46" i="4"/>
  <c r="R46" i="4"/>
  <c r="N46" i="4"/>
  <c r="J46" i="4"/>
  <c r="F46" i="4"/>
  <c r="V45" i="4"/>
  <c r="R45" i="4"/>
  <c r="N45" i="4"/>
  <c r="J45" i="4"/>
  <c r="F45" i="4"/>
  <c r="V44" i="4"/>
  <c r="R44" i="4"/>
  <c r="N44" i="4"/>
  <c r="J44" i="4"/>
  <c r="F44" i="4"/>
  <c r="V43" i="4"/>
  <c r="R43" i="4"/>
  <c r="N43" i="4"/>
  <c r="J43" i="4"/>
  <c r="F43" i="4"/>
  <c r="U47" i="4"/>
  <c r="Q47" i="4"/>
  <c r="M47" i="4"/>
  <c r="I47" i="4"/>
  <c r="E47" i="4"/>
  <c r="U46" i="4"/>
  <c r="Q46" i="4"/>
  <c r="M46" i="4"/>
  <c r="I46" i="4"/>
  <c r="E46" i="4"/>
  <c r="U45" i="4"/>
  <c r="Q45" i="4"/>
  <c r="M45" i="4"/>
  <c r="I45" i="4"/>
  <c r="E45" i="4"/>
  <c r="U44" i="4"/>
  <c r="Q44" i="4"/>
  <c r="M44" i="4"/>
  <c r="I44" i="4"/>
  <c r="E44" i="4"/>
  <c r="U43" i="4"/>
  <c r="Q43" i="4"/>
  <c r="M43" i="4"/>
  <c r="I43" i="4"/>
  <c r="E43" i="4"/>
  <c r="W47" i="4"/>
  <c r="S47" i="4"/>
  <c r="O47" i="4"/>
  <c r="K47" i="4"/>
  <c r="G47" i="4"/>
  <c r="W46" i="4"/>
  <c r="S46" i="4"/>
  <c r="O46" i="4"/>
  <c r="K46" i="4"/>
  <c r="G46" i="4"/>
  <c r="W45" i="4"/>
  <c r="S45" i="4"/>
  <c r="O45" i="4"/>
  <c r="K45" i="4"/>
  <c r="G45" i="4"/>
  <c r="W44" i="4"/>
  <c r="S44" i="4"/>
  <c r="O44" i="4"/>
  <c r="K44" i="4"/>
  <c r="G44" i="4"/>
  <c r="W43" i="4"/>
  <c r="S43" i="4"/>
  <c r="O43" i="4"/>
  <c r="K43" i="4"/>
  <c r="G43" i="4"/>
  <c r="T43" i="4"/>
  <c r="P44" i="4"/>
  <c r="L45" i="4"/>
  <c r="H46" i="4"/>
  <c r="X46" i="4"/>
  <c r="T47" i="4"/>
  <c r="F29" i="4"/>
  <c r="J29" i="4"/>
  <c r="N29" i="4"/>
  <c r="R29" i="4"/>
  <c r="V29" i="4"/>
  <c r="F30" i="4"/>
  <c r="J30" i="4"/>
  <c r="N30" i="4"/>
  <c r="R30" i="4"/>
  <c r="V30" i="4"/>
  <c r="F31" i="4"/>
  <c r="J31" i="4"/>
  <c r="N31" i="4"/>
  <c r="R31" i="4"/>
  <c r="V31" i="4"/>
  <c r="F32" i="4"/>
  <c r="J32" i="4"/>
  <c r="N32" i="4"/>
  <c r="R32" i="4"/>
  <c r="H33" i="4"/>
  <c r="X33" i="4"/>
  <c r="H43" i="4"/>
  <c r="X43" i="4"/>
  <c r="T44" i="4"/>
  <c r="P45" i="4"/>
  <c r="L46" i="4"/>
  <c r="H47" i="4"/>
  <c r="X47" i="4"/>
  <c r="G29" i="4"/>
  <c r="K29" i="4"/>
  <c r="O29" i="4"/>
  <c r="S29" i="4"/>
  <c r="W29" i="4"/>
  <c r="G30" i="4"/>
  <c r="K30" i="4"/>
  <c r="O30" i="4"/>
  <c r="S30" i="4"/>
  <c r="W30" i="4"/>
  <c r="G31" i="4"/>
  <c r="K31" i="4"/>
  <c r="O31" i="4"/>
  <c r="S31" i="4"/>
  <c r="W31" i="4"/>
  <c r="G32" i="4"/>
  <c r="K32" i="4"/>
  <c r="O32" i="4"/>
  <c r="T32" i="4"/>
  <c r="L33" i="4"/>
  <c r="L43" i="4"/>
  <c r="H44" i="4"/>
  <c r="X44" i="4"/>
  <c r="T45" i="4"/>
  <c r="P46" i="4"/>
  <c r="L47" i="4"/>
  <c r="G50" i="4"/>
  <c r="K50" i="4"/>
  <c r="O50" i="4"/>
  <c r="S50" i="4"/>
  <c r="W50" i="4"/>
  <c r="G51" i="4"/>
  <c r="K51" i="4"/>
  <c r="O51" i="4"/>
  <c r="S51" i="4"/>
  <c r="W51" i="4"/>
  <c r="G52" i="4"/>
  <c r="K52" i="4"/>
  <c r="O52" i="4"/>
  <c r="S52" i="4"/>
  <c r="W52" i="4"/>
  <c r="G53" i="4"/>
  <c r="K53" i="4"/>
  <c r="O53" i="4"/>
  <c r="S53" i="4"/>
  <c r="W53" i="4"/>
  <c r="G54" i="4"/>
  <c r="K54" i="4"/>
  <c r="O54" i="4"/>
  <c r="S54" i="4"/>
  <c r="W54" i="4"/>
  <c r="H50" i="4"/>
  <c r="L50" i="4"/>
  <c r="P50" i="4"/>
  <c r="T50" i="4"/>
  <c r="X50" i="4"/>
  <c r="H51" i="4"/>
  <c r="L51" i="4"/>
  <c r="P51" i="4"/>
  <c r="T51" i="4"/>
  <c r="X51" i="4"/>
  <c r="H52" i="4"/>
  <c r="L52" i="4"/>
  <c r="P52" i="4"/>
  <c r="T52" i="4"/>
  <c r="X52" i="4"/>
  <c r="H53" i="4"/>
  <c r="L53" i="4"/>
  <c r="P53" i="4"/>
  <c r="T53" i="4"/>
  <c r="X53" i="4"/>
  <c r="H54" i="4"/>
  <c r="L54" i="4"/>
  <c r="P54" i="4"/>
  <c r="T54" i="4"/>
  <c r="X54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F50" i="4"/>
  <c r="J50" i="4"/>
  <c r="N50" i="4"/>
  <c r="R50" i="4"/>
  <c r="V50" i="4"/>
  <c r="F51" i="4"/>
  <c r="J51" i="4"/>
  <c r="N51" i="4"/>
  <c r="R51" i="4"/>
  <c r="V51" i="4"/>
  <c r="F52" i="4"/>
  <c r="J52" i="4"/>
  <c r="N52" i="4"/>
  <c r="R52" i="4"/>
  <c r="V52" i="4"/>
  <c r="F53" i="4"/>
  <c r="J53" i="4"/>
  <c r="N53" i="4"/>
  <c r="R53" i="4"/>
  <c r="V53" i="4"/>
  <c r="F54" i="4"/>
  <c r="J54" i="4"/>
  <c r="N54" i="4"/>
  <c r="R54" i="4"/>
  <c r="D4" i="3"/>
  <c r="B4" i="3" l="1"/>
  <c r="C46" i="3"/>
  <c r="C50" i="3"/>
  <c r="C4" i="3"/>
  <c r="V63" i="3"/>
  <c r="Q63" i="3"/>
  <c r="X63" i="3"/>
  <c r="C8" i="3"/>
  <c r="C12" i="3"/>
  <c r="C16" i="3"/>
  <c r="C20" i="3"/>
  <c r="C24" i="3"/>
  <c r="C28" i="3"/>
  <c r="C32" i="3"/>
  <c r="C36" i="3"/>
  <c r="C40" i="3"/>
  <c r="C44" i="3"/>
  <c r="C48" i="3"/>
  <c r="Q19" i="4"/>
  <c r="E19" i="4"/>
  <c r="I18" i="4"/>
  <c r="M17" i="4"/>
  <c r="Q16" i="4"/>
  <c r="U15" i="4"/>
  <c r="E15" i="4"/>
  <c r="I25" i="4"/>
  <c r="Q23" i="4"/>
  <c r="E22" i="4"/>
  <c r="T33" i="4"/>
  <c r="I32" i="4"/>
  <c r="M31" i="4"/>
  <c r="Q30" i="4"/>
  <c r="U29" i="4"/>
  <c r="E29" i="4"/>
  <c r="M19" i="4"/>
  <c r="Q18" i="4"/>
  <c r="U17" i="4"/>
  <c r="E17" i="4"/>
  <c r="I16" i="4"/>
  <c r="M15" i="4"/>
  <c r="M24" i="4"/>
  <c r="U22" i="4"/>
  <c r="Q32" i="4"/>
  <c r="U31" i="4"/>
  <c r="E31" i="4"/>
  <c r="I30" i="4"/>
  <c r="M29" i="4"/>
  <c r="H19" i="4"/>
  <c r="L18" i="4"/>
  <c r="P17" i="4"/>
  <c r="T16" i="4"/>
  <c r="X15" i="4"/>
  <c r="E24" i="4"/>
  <c r="M32" i="4"/>
  <c r="Q31" i="4"/>
  <c r="U30" i="4"/>
  <c r="E30" i="4"/>
</calcChain>
</file>

<file path=xl/sharedStrings.xml><?xml version="1.0" encoding="utf-8"?>
<sst xmlns="http://schemas.openxmlformats.org/spreadsheetml/2006/main" count="751" uniqueCount="106">
  <si>
    <t>Noms</t>
  </si>
  <si>
    <t>Prénom</t>
  </si>
  <si>
    <t>Groupe</t>
  </si>
  <si>
    <t>Conducteur VSAV</t>
  </si>
  <si>
    <t>Gueidon</t>
  </si>
  <si>
    <t>Gabelle</t>
  </si>
  <si>
    <t>Marie</t>
  </si>
  <si>
    <t>Antoniotti</t>
  </si>
  <si>
    <t>Baret</t>
  </si>
  <si>
    <t>Vigouroux</t>
  </si>
  <si>
    <t>Le Goff</t>
  </si>
  <si>
    <t>Penichon</t>
  </si>
  <si>
    <t>Gendre</t>
  </si>
  <si>
    <t>Huot</t>
  </si>
  <si>
    <t>Lesbegueries</t>
  </si>
  <si>
    <t>Chanseaume</t>
  </si>
  <si>
    <t>Sangaré</t>
  </si>
  <si>
    <t>Lacoste</t>
  </si>
  <si>
    <t>Gonzalez M</t>
  </si>
  <si>
    <t>Diaz L</t>
  </si>
  <si>
    <t>Sowu</t>
  </si>
  <si>
    <t>Chambaudry</t>
  </si>
  <si>
    <t>Parszevski</t>
  </si>
  <si>
    <t>Lamalle</t>
  </si>
  <si>
    <t>Desmond</t>
  </si>
  <si>
    <t>Xu</t>
  </si>
  <si>
    <t>Borie</t>
  </si>
  <si>
    <t>Diarra</t>
  </si>
  <si>
    <t>Delort</t>
  </si>
  <si>
    <t>Jamme</t>
  </si>
  <si>
    <t>Labaste</t>
  </si>
  <si>
    <t>Zingarelli</t>
  </si>
  <si>
    <t>Tohno.T</t>
  </si>
  <si>
    <t>Garnet</t>
  </si>
  <si>
    <t>Crotti</t>
  </si>
  <si>
    <t>Verdon</t>
  </si>
  <si>
    <t>Fourcroy</t>
  </si>
  <si>
    <t>Diantété</t>
  </si>
  <si>
    <t>Soukiassian</t>
  </si>
  <si>
    <t>Koualed</t>
  </si>
  <si>
    <t>Berton</t>
  </si>
  <si>
    <t>Julien</t>
  </si>
  <si>
    <t>Oui</t>
  </si>
  <si>
    <t>Non</t>
  </si>
  <si>
    <t>Yelles</t>
  </si>
  <si>
    <t>Duhamel</t>
  </si>
  <si>
    <t>Azehaf</t>
  </si>
  <si>
    <t>Tohno.M</t>
  </si>
  <si>
    <t>Lanseau</t>
  </si>
  <si>
    <t>Monjol</t>
  </si>
  <si>
    <t>Groupe prioritaire</t>
  </si>
  <si>
    <t>07h30</t>
  </si>
  <si>
    <t>13h30</t>
  </si>
  <si>
    <t>16h00</t>
  </si>
  <si>
    <t>19h30</t>
  </si>
  <si>
    <t>00h30</t>
  </si>
  <si>
    <t>NOM</t>
  </si>
  <si>
    <t>TOTAL</t>
  </si>
  <si>
    <t>VSAV</t>
  </si>
  <si>
    <t>Fourgon</t>
  </si>
  <si>
    <t>VTU</t>
  </si>
  <si>
    <t>Fg</t>
  </si>
  <si>
    <t>Aitchaouche</t>
  </si>
  <si>
    <t>Bouvier</t>
  </si>
  <si>
    <t>Campetto</t>
  </si>
  <si>
    <t>Dardet</t>
  </si>
  <si>
    <t>David Vtine</t>
  </si>
  <si>
    <t>Dubergey</t>
  </si>
  <si>
    <t>Elouaryaghly</t>
  </si>
  <si>
    <t>Falco</t>
  </si>
  <si>
    <t>Fournier</t>
  </si>
  <si>
    <t>Givory</t>
  </si>
  <si>
    <t>Gonzalez D</t>
  </si>
  <si>
    <t>Haidara</t>
  </si>
  <si>
    <t>Hangard</t>
  </si>
  <si>
    <t>Hervy</t>
  </si>
  <si>
    <t>Lempereur</t>
  </si>
  <si>
    <t>Portron</t>
  </si>
  <si>
    <t>Renoux</t>
  </si>
  <si>
    <t>Romy</t>
  </si>
  <si>
    <t>RECAPITULATIF DISPONIBILITE ET GARDE SPV</t>
  </si>
  <si>
    <t>Tournée BI / PI</t>
  </si>
  <si>
    <t>Renfort CI BI / PI</t>
  </si>
  <si>
    <t>GARDE JOUR 16 H 00 – 19 H 30</t>
  </si>
  <si>
    <t>GARDE NUIT 19 H 30 – 00 H 30</t>
  </si>
  <si>
    <t>RENFORT CI MATIN 07 H 30 – 12 H 30</t>
  </si>
  <si>
    <t>Astreinte uniquement pour l'operationnel</t>
  </si>
  <si>
    <t>07 h 30 – 13 h 30</t>
  </si>
  <si>
    <t>13 h 30 – 16 h 00</t>
  </si>
  <si>
    <t/>
  </si>
  <si>
    <t>16 h 00 – 19 h 30</t>
  </si>
  <si>
    <t>19 h 30 – 00 h 30</t>
  </si>
  <si>
    <t>00 h 30 – 07 h 30</t>
  </si>
  <si>
    <t>Les SPV désignés par le bureau du service en cours de semaine pour assurer un remplacement sera choisi parmi les SPV d'astreintes dans l'ordre figuré sur la présente feuille</t>
  </si>
  <si>
    <t>NOMS</t>
  </si>
  <si>
    <t>Grp</t>
  </si>
  <si>
    <t>DISPONIBILITES</t>
  </si>
  <si>
    <t>Vendredi</t>
  </si>
  <si>
    <t>Nom</t>
  </si>
  <si>
    <t>la semaine dernière</t>
  </si>
  <si>
    <t>Nombre</t>
  </si>
  <si>
    <t>d'astreinte</t>
  </si>
  <si>
    <t>de garde</t>
  </si>
  <si>
    <t>Disponibilité</t>
  </si>
  <si>
    <t>Samedi</t>
  </si>
  <si>
    <t>Dimanche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</si>
</sst>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"/>
    <numFmt numFmtId="165" formatCode="dddd\ dd/mm"/>
    <numFmt numFmtId="166" formatCode="&quot;Sem. &quot;0"/>
    <numFmt numFmtId="167" formatCode="_ * #,##0_);_ * \(#,##0\)_ ;_ * &quot;-&quot;_)_ ;_ @_ "/>
    <numFmt numFmtId="168" formatCode="&quot;Semaine n° &quot;0"/>
    <numFmt numFmtId="169" formatCode="&quot;Du &quot;dd\ mmmm\ yyyy"/>
    <numFmt numFmtId="170" formatCode="&quot;Au &quot;dd\ mmmm\ yyyy"/>
    <numFmt numFmtId="171" formatCode="dddd\ dd\ mmmm\ yyyy"/>
    <numFmt numFmtId="172" formatCode="&quot;Semaine N° &quot;#"/>
    <numFmt numFmtId="173" formatCode="&quot;Du &quot;dddd\ dd\ mmmm\ yyyy"/>
    <numFmt numFmtId="174" formatCode="&quot;au &quot;dddd\ dd\ mmmm\ 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sz val="10"/>
      <color rgb="FF0066CC"/>
      <name val="Times New Roman"/>
      <family val="1"/>
    </font>
    <font>
      <b/>
      <sz val="14"/>
      <name val="Times New Roman"/>
      <family val="1"/>
    </font>
    <font>
      <b/>
      <sz val="14"/>
      <color rgb="FFFF0000"/>
      <name val="Times New Roman"/>
      <family val="1"/>
    </font>
    <font>
      <sz val="9"/>
      <name val="Times New Roman"/>
      <family val="1"/>
    </font>
    <font>
      <sz val="9"/>
      <color rgb="FF000000"/>
      <name val="Times New Roman"/>
      <family val="1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name val="Arial"/>
      <family val="2"/>
    </font>
    <font>
      <b/>
      <i/>
      <u/>
      <sz val="12"/>
      <name val="Times New Roman"/>
      <family val="1"/>
    </font>
    <font>
      <b/>
      <sz val="11"/>
      <name val="Times New Roman"/>
      <family val="1"/>
    </font>
    <font>
      <b/>
      <u/>
      <sz val="10"/>
      <color rgb="FFFF000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Arial"/>
      <family val="2"/>
    </font>
    <font>
      <b/>
      <sz val="12"/>
      <color rgb="FFFFFFFF"/>
      <name val="Times New Roman"/>
      <family val="1"/>
    </font>
    <font>
      <b/>
      <i/>
      <u/>
      <sz val="10"/>
      <name val="Times New Roman"/>
      <family val="1"/>
    </font>
    <font>
      <sz val="9"/>
      <color rgb="FF0000FF"/>
      <name val="Times New Roman"/>
      <family val="1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 tint="-0.249977111117893"/>
      <name val="Times New Roman"/>
      <family val="1"/>
    </font>
    <font>
      <b/>
      <i/>
      <u/>
      <sz val="10"/>
      <color rgb="FF000000"/>
      <name val="Arial"/>
      <family val="2"/>
    </font>
    <font>
      <b/>
      <u/>
      <sz val="14"/>
      <color rgb="FF0000FF"/>
      <name val="Times New Roman"/>
      <family val="1"/>
    </font>
    <font>
      <b/>
      <i/>
      <u/>
      <sz val="16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00"/>
        <bgColor rgb="FFCC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6E6"/>
        <bgColor rgb="FFE6E6E6"/>
      </patternFill>
    </fill>
    <fill>
      <patternFill patternType="solid">
        <fgColor theme="5"/>
        <bgColor rgb="FFE6E6E6"/>
      </patternFill>
    </fill>
    <fill>
      <patternFill patternType="solid">
        <fgColor theme="9"/>
        <bgColor rgb="FFE6E6E6"/>
      </patternFill>
    </fill>
    <fill>
      <patternFill patternType="solid">
        <fgColor rgb="FFFFFF00"/>
        <bgColor rgb="FFFFFF00"/>
      </patternFill>
    </fill>
    <fill>
      <patternFill patternType="solid">
        <fgColor rgb="FF0070C0"/>
        <bgColor rgb="FF0000FF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FF0000"/>
        <bgColor rgb="FF00FF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auto="1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/>
      <top style="medium">
        <color auto="1"/>
      </top>
      <bottom style="hair">
        <color rgb="FF000000"/>
      </bottom>
      <diagonal/>
    </border>
    <border>
      <left/>
      <right/>
      <top style="medium">
        <color auto="1"/>
      </top>
      <bottom style="hair">
        <color rgb="FF000000"/>
      </bottom>
      <diagonal/>
    </border>
    <border>
      <left/>
      <right style="medium">
        <color auto="1"/>
      </right>
      <top style="medium">
        <color auto="1"/>
      </top>
      <bottom style="hair">
        <color rgb="FF000000"/>
      </bottom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n">
        <color rgb="FF000000"/>
      </right>
      <top style="medium">
        <color auto="1"/>
      </top>
      <bottom/>
      <diagonal/>
    </border>
    <border>
      <left style="medium">
        <color auto="1"/>
      </left>
      <right style="thin">
        <color rgb="FF000000"/>
      </right>
      <top/>
      <bottom/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medium">
        <color auto="1"/>
      </bottom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32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4" fillId="0" borderId="2" xfId="0" applyNumberFormat="1" applyFont="1" applyFill="1" applyBorder="1" applyAlignment="1">
      <alignment horizontal="center" vertical="center"/>
    </xf>
    <xf numFmtId="164" fontId="4" fillId="0" borderId="3" xfId="0" applyNumberFormat="1" applyFont="1" applyFill="1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164" fontId="7" fillId="0" borderId="11" xfId="0" applyNumberFormat="1" applyFont="1" applyBorder="1" applyAlignment="1">
      <alignment horizontal="center" vertical="center"/>
    </xf>
    <xf numFmtId="0" fontId="0" fillId="0" borderId="0" xfId="0" applyFont="1"/>
    <xf numFmtId="0" fontId="10" fillId="0" borderId="0" xfId="1" applyAlignment="1">
      <alignment vertical="center"/>
    </xf>
    <xf numFmtId="0" fontId="11" fillId="0" borderId="12" xfId="1" applyFont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11" fillId="4" borderId="17" xfId="1" applyFont="1" applyFill="1" applyBorder="1" applyAlignment="1">
      <alignment horizontal="center" vertical="center"/>
    </xf>
    <xf numFmtId="0" fontId="11" fillId="4" borderId="18" xfId="1" applyFont="1" applyFill="1" applyBorder="1" applyAlignment="1">
      <alignment horizontal="center" vertical="center"/>
    </xf>
    <xf numFmtId="0" fontId="11" fillId="4" borderId="19" xfId="1" applyFont="1" applyFill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vertical="center"/>
    </xf>
    <xf numFmtId="167" fontId="10" fillId="4" borderId="21" xfId="1" applyNumberFormat="1" applyFill="1" applyBorder="1" applyAlignment="1">
      <alignment vertical="center"/>
    </xf>
    <xf numFmtId="167" fontId="10" fillId="4" borderId="22" xfId="1" applyNumberFormat="1" applyFill="1" applyBorder="1" applyAlignment="1">
      <alignment vertical="center"/>
    </xf>
    <xf numFmtId="167" fontId="10" fillId="4" borderId="23" xfId="1" applyNumberFormat="1" applyFill="1" applyBorder="1" applyAlignment="1">
      <alignment vertical="center"/>
    </xf>
    <xf numFmtId="167" fontId="10" fillId="0" borderId="21" xfId="1" applyNumberFormat="1" applyBorder="1" applyAlignment="1">
      <alignment vertical="center"/>
    </xf>
    <xf numFmtId="167" fontId="10" fillId="0" borderId="22" xfId="1" applyNumberFormat="1" applyBorder="1" applyAlignment="1">
      <alignment vertical="center"/>
    </xf>
    <xf numFmtId="167" fontId="10" fillId="0" borderId="23" xfId="1" applyNumberFormat="1" applyBorder="1" applyAlignment="1">
      <alignment vertical="center"/>
    </xf>
    <xf numFmtId="0" fontId="11" fillId="0" borderId="24" xfId="1" applyFont="1" applyBorder="1" applyAlignment="1">
      <alignment vertical="center"/>
    </xf>
    <xf numFmtId="167" fontId="10" fillId="4" borderId="25" xfId="1" applyNumberFormat="1" applyFill="1" applyBorder="1" applyAlignment="1">
      <alignment vertical="center"/>
    </xf>
    <xf numFmtId="167" fontId="10" fillId="4" borderId="26" xfId="1" applyNumberFormat="1" applyFill="1" applyBorder="1" applyAlignment="1">
      <alignment vertical="center"/>
    </xf>
    <xf numFmtId="167" fontId="10" fillId="4" borderId="27" xfId="1" applyNumberFormat="1" applyFill="1" applyBorder="1" applyAlignment="1">
      <alignment vertical="center"/>
    </xf>
    <xf numFmtId="167" fontId="10" fillId="0" borderId="25" xfId="1" applyNumberFormat="1" applyBorder="1" applyAlignment="1">
      <alignment vertical="center"/>
    </xf>
    <xf numFmtId="167" fontId="10" fillId="0" borderId="26" xfId="1" applyNumberFormat="1" applyBorder="1" applyAlignment="1">
      <alignment vertical="center"/>
    </xf>
    <xf numFmtId="167" fontId="10" fillId="0" borderId="27" xfId="1" applyNumberFormat="1" applyBorder="1" applyAlignment="1">
      <alignment vertical="center"/>
    </xf>
    <xf numFmtId="0" fontId="11" fillId="0" borderId="28" xfId="1" applyFont="1" applyBorder="1" applyAlignment="1">
      <alignment vertical="center"/>
    </xf>
    <xf numFmtId="167" fontId="10" fillId="4" borderId="17" xfId="1" applyNumberFormat="1" applyFill="1" applyBorder="1" applyAlignment="1">
      <alignment vertical="center"/>
    </xf>
    <xf numFmtId="167" fontId="10" fillId="4" borderId="18" xfId="1" applyNumberFormat="1" applyFill="1" applyBorder="1" applyAlignment="1">
      <alignment vertical="center"/>
    </xf>
    <xf numFmtId="167" fontId="10" fillId="4" borderId="19" xfId="1" applyNumberFormat="1" applyFill="1" applyBorder="1" applyAlignment="1">
      <alignment vertical="center"/>
    </xf>
    <xf numFmtId="167" fontId="10" fillId="0" borderId="17" xfId="1" applyNumberFormat="1" applyBorder="1" applyAlignment="1">
      <alignment vertical="center"/>
    </xf>
    <xf numFmtId="167" fontId="10" fillId="0" borderId="18" xfId="1" applyNumberFormat="1" applyBorder="1" applyAlignment="1">
      <alignment vertical="center"/>
    </xf>
    <xf numFmtId="167" fontId="10" fillId="0" borderId="19" xfId="1" applyNumberFormat="1" applyBorder="1" applyAlignment="1">
      <alignment vertical="center"/>
    </xf>
    <xf numFmtId="167" fontId="10" fillId="0" borderId="29" xfId="1" applyNumberFormat="1" applyBorder="1" applyAlignment="1">
      <alignment vertical="center"/>
    </xf>
    <xf numFmtId="167" fontId="10" fillId="0" borderId="30" xfId="1" applyNumberFormat="1" applyBorder="1" applyAlignment="1">
      <alignment vertical="center"/>
    </xf>
    <xf numFmtId="167" fontId="10" fillId="0" borderId="31" xfId="1" applyNumberFormat="1" applyBorder="1" applyAlignment="1">
      <alignment vertical="center"/>
    </xf>
    <xf numFmtId="0" fontId="11" fillId="0" borderId="32" xfId="1" applyFont="1" applyBorder="1" applyAlignment="1">
      <alignment vertical="center"/>
    </xf>
    <xf numFmtId="0" fontId="11" fillId="0" borderId="33" xfId="1" applyFont="1" applyBorder="1" applyAlignment="1">
      <alignment vertical="center"/>
    </xf>
    <xf numFmtId="0" fontId="11" fillId="0" borderId="34" xfId="1" applyFont="1" applyBorder="1" applyAlignment="1">
      <alignment vertical="center"/>
    </xf>
    <xf numFmtId="0" fontId="12" fillId="5" borderId="0" xfId="2" applyFont="1" applyFill="1" applyBorder="1"/>
    <xf numFmtId="0" fontId="13" fillId="5" borderId="0" xfId="2" applyFont="1" applyFill="1" applyBorder="1"/>
    <xf numFmtId="0" fontId="9" fillId="5" borderId="0" xfId="2" applyFont="1" applyFill="1" applyBorder="1"/>
    <xf numFmtId="0" fontId="13" fillId="6" borderId="0" xfId="2" applyFont="1" applyFill="1" applyBorder="1"/>
    <xf numFmtId="0" fontId="15" fillId="6" borderId="0" xfId="2" applyFont="1" applyFill="1" applyBorder="1" applyAlignment="1">
      <alignment horizontal="center"/>
    </xf>
    <xf numFmtId="0" fontId="9" fillId="6" borderId="0" xfId="2" applyFont="1" applyFill="1" applyBorder="1"/>
    <xf numFmtId="168" fontId="16" fillId="0" borderId="0" xfId="2" applyNumberFormat="1" applyFont="1" applyAlignment="1"/>
    <xf numFmtId="0" fontId="1" fillId="0" borderId="0" xfId="2" applyFont="1" applyAlignment="1"/>
    <xf numFmtId="0" fontId="13" fillId="7" borderId="0" xfId="2" applyFont="1" applyFill="1" applyBorder="1"/>
    <xf numFmtId="0" fontId="15" fillId="7" borderId="0" xfId="2" applyFont="1" applyFill="1" applyBorder="1" applyAlignment="1">
      <alignment horizontal="center"/>
    </xf>
    <xf numFmtId="0" fontId="9" fillId="7" borderId="0" xfId="2" applyFont="1" applyFill="1" applyBorder="1"/>
    <xf numFmtId="0" fontId="19" fillId="12" borderId="0" xfId="0" applyFont="1" applyFill="1" applyAlignment="1"/>
    <xf numFmtId="0" fontId="21" fillId="0" borderId="38" xfId="2" applyFont="1" applyBorder="1" applyAlignment="1">
      <alignment horizontal="center"/>
    </xf>
    <xf numFmtId="0" fontId="13" fillId="0" borderId="38" xfId="2" applyFont="1" applyFill="1" applyBorder="1" applyAlignment="1">
      <alignment horizontal="left" vertical="center"/>
    </xf>
    <xf numFmtId="0" fontId="13" fillId="0" borderId="37" xfId="2" applyFont="1" applyFill="1" applyBorder="1" applyAlignment="1">
      <alignment horizontal="left" vertical="center"/>
    </xf>
    <xf numFmtId="0" fontId="21" fillId="0" borderId="35" xfId="2" applyFont="1" applyBorder="1" applyAlignment="1">
      <alignment horizontal="center"/>
    </xf>
    <xf numFmtId="0" fontId="13" fillId="5" borderId="0" xfId="2" applyFont="1" applyFill="1" applyBorder="1" applyAlignment="1">
      <alignment horizontal="center"/>
    </xf>
    <xf numFmtId="0" fontId="24" fillId="0" borderId="0" xfId="2" applyFont="1"/>
    <xf numFmtId="0" fontId="9" fillId="0" borderId="0" xfId="2" applyFont="1"/>
    <xf numFmtId="0" fontId="3" fillId="0" borderId="0" xfId="2" applyFont="1"/>
    <xf numFmtId="0" fontId="22" fillId="14" borderId="26" xfId="2" applyFont="1" applyFill="1" applyBorder="1" applyAlignment="1">
      <alignment horizontal="left" vertical="center"/>
    </xf>
    <xf numFmtId="0" fontId="13" fillId="0" borderId="26" xfId="2" applyFont="1" applyFill="1" applyBorder="1" applyAlignment="1">
      <alignment horizontal="left" vertical="center"/>
    </xf>
    <xf numFmtId="0" fontId="23" fillId="10" borderId="0" xfId="2" applyFont="1" applyFill="1" applyBorder="1" applyAlignment="1">
      <alignment horizontal="left" vertical="center"/>
    </xf>
    <xf numFmtId="0" fontId="22" fillId="0" borderId="26" xfId="2" applyFont="1" applyFill="1" applyBorder="1" applyAlignment="1">
      <alignment horizontal="left" vertical="center"/>
    </xf>
    <xf numFmtId="0" fontId="22" fillId="14" borderId="26" xfId="2" applyFont="1" applyFill="1" applyBorder="1" applyAlignment="1">
      <alignment horizontal="left"/>
    </xf>
    <xf numFmtId="0" fontId="13" fillId="0" borderId="26" xfId="2" applyFont="1" applyFill="1" applyBorder="1" applyAlignment="1">
      <alignment horizontal="left"/>
    </xf>
    <xf numFmtId="0" fontId="23" fillId="10" borderId="0" xfId="2" applyFont="1" applyFill="1" applyBorder="1" applyAlignment="1">
      <alignment horizontal="left"/>
    </xf>
    <xf numFmtId="0" fontId="22" fillId="0" borderId="26" xfId="2" applyFont="1" applyFill="1" applyBorder="1" applyAlignment="1">
      <alignment horizontal="left"/>
    </xf>
    <xf numFmtId="0" fontId="25" fillId="0" borderId="0" xfId="0" applyFont="1" applyAlignment="1">
      <alignment vertical="center"/>
    </xf>
    <xf numFmtId="0" fontId="22" fillId="14" borderId="39" xfId="0" applyFont="1" applyFill="1" applyBorder="1" applyAlignment="1">
      <alignment horizontal="center" vertical="center"/>
    </xf>
    <xf numFmtId="0" fontId="13" fillId="0" borderId="39" xfId="0" applyFont="1" applyBorder="1" applyAlignment="1">
      <alignment vertical="center"/>
    </xf>
    <xf numFmtId="164" fontId="27" fillId="0" borderId="0" xfId="0" applyNumberFormat="1" applyFont="1" applyAlignment="1">
      <alignment vertical="center"/>
    </xf>
    <xf numFmtId="0" fontId="0" fillId="0" borderId="0" xfId="0" applyFill="1" applyBorder="1"/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Border="1" applyAlignment="1">
      <alignment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4" xfId="0" applyNumberFormat="1" applyFont="1" applyBorder="1" applyAlignment="1">
      <alignment horizontal="center" vertical="center"/>
    </xf>
    <xf numFmtId="164" fontId="4" fillId="0" borderId="49" xfId="0" applyNumberFormat="1" applyFont="1" applyFill="1" applyBorder="1" applyAlignment="1">
      <alignment horizontal="center" vertical="center"/>
    </xf>
    <xf numFmtId="164" fontId="4" fillId="0" borderId="43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left" vertical="center"/>
    </xf>
    <xf numFmtId="164" fontId="3" fillId="0" borderId="51" xfId="0" applyNumberFormat="1" applyFont="1" applyFill="1" applyBorder="1" applyAlignment="1">
      <alignment horizontal="center" vertical="center"/>
    </xf>
    <xf numFmtId="164" fontId="3" fillId="0" borderId="51" xfId="0" applyNumberFormat="1" applyFont="1" applyFill="1" applyBorder="1" applyAlignment="1">
      <alignment horizontal="left" vertical="center"/>
    </xf>
    <xf numFmtId="164" fontId="3" fillId="0" borderId="52" xfId="0" applyNumberFormat="1" applyFont="1" applyFill="1" applyBorder="1" applyAlignment="1">
      <alignment horizontal="center" vertical="center"/>
    </xf>
    <xf numFmtId="164" fontId="3" fillId="0" borderId="52" xfId="0" applyNumberFormat="1" applyFont="1" applyFill="1" applyBorder="1" applyAlignment="1">
      <alignment horizontal="left" vertical="center"/>
    </xf>
    <xf numFmtId="0" fontId="0" fillId="0" borderId="26" xfId="0" applyBorder="1"/>
    <xf numFmtId="0" fontId="2" fillId="0" borderId="26" xfId="0" applyFont="1" applyBorder="1" applyAlignment="1">
      <alignment horizontal="center" vertical="center"/>
    </xf>
    <xf numFmtId="164" fontId="5" fillId="0" borderId="41" xfId="0" applyNumberFormat="1" applyFont="1" applyBorder="1" applyAlignment="1">
      <alignment horizontal="center" vertical="center"/>
    </xf>
    <xf numFmtId="164" fontId="5" fillId="0" borderId="42" xfId="0" applyNumberFormat="1" applyFont="1" applyBorder="1" applyAlignment="1">
      <alignment horizontal="center" vertical="center"/>
    </xf>
    <xf numFmtId="164" fontId="5" fillId="0" borderId="47" xfId="0" applyNumberFormat="1" applyFont="1" applyBorder="1" applyAlignment="1">
      <alignment horizontal="center" vertical="center"/>
    </xf>
    <xf numFmtId="165" fontId="5" fillId="2" borderId="7" xfId="0" applyNumberFormat="1" applyFont="1" applyFill="1" applyBorder="1" applyAlignment="1">
      <alignment horizontal="center" vertical="center"/>
    </xf>
    <xf numFmtId="165" fontId="5" fillId="2" borderId="8" xfId="0" applyNumberFormat="1" applyFont="1" applyFill="1" applyBorder="1" applyAlignment="1">
      <alignment horizontal="center" vertical="center"/>
    </xf>
    <xf numFmtId="165" fontId="5" fillId="2" borderId="6" xfId="0" applyNumberFormat="1" applyFont="1" applyFill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164" fontId="5" fillId="0" borderId="46" xfId="0" applyNumberFormat="1" applyFont="1" applyBorder="1" applyAlignment="1">
      <alignment horizontal="center" vertical="center"/>
    </xf>
    <xf numFmtId="164" fontId="5" fillId="0" borderId="48" xfId="0" applyNumberFormat="1" applyFont="1" applyBorder="1" applyAlignment="1">
      <alignment horizontal="center" vertical="center"/>
    </xf>
    <xf numFmtId="165" fontId="6" fillId="3" borderId="6" xfId="0" applyNumberFormat="1" applyFont="1" applyFill="1" applyBorder="1" applyAlignment="1">
      <alignment horizontal="center" vertical="center"/>
    </xf>
    <xf numFmtId="165" fontId="6" fillId="3" borderId="7" xfId="0" applyNumberFormat="1" applyFont="1" applyFill="1" applyBorder="1" applyAlignment="1">
      <alignment horizontal="center" vertical="center"/>
    </xf>
    <xf numFmtId="165" fontId="6" fillId="3" borderId="8" xfId="0" applyNumberFormat="1" applyFont="1" applyFill="1" applyBorder="1" applyAlignment="1">
      <alignment horizontal="center" vertical="center"/>
    </xf>
    <xf numFmtId="172" fontId="26" fillId="0" borderId="40" xfId="0" applyNumberFormat="1" applyFont="1" applyBorder="1" applyAlignment="1">
      <alignment horizontal="right" vertical="center"/>
    </xf>
    <xf numFmtId="173" fontId="26" fillId="0" borderId="40" xfId="0" applyNumberFormat="1" applyFont="1" applyBorder="1" applyAlignment="1">
      <alignment horizontal="right" vertical="center"/>
    </xf>
    <xf numFmtId="174" fontId="26" fillId="0" borderId="40" xfId="0" applyNumberFormat="1" applyFont="1" applyBorder="1" applyAlignment="1">
      <alignment horizontal="left" vertical="center"/>
    </xf>
    <xf numFmtId="0" fontId="2" fillId="0" borderId="26" xfId="0" applyFont="1" applyBorder="1" applyAlignment="1">
      <alignment horizontal="center" vertical="center"/>
    </xf>
    <xf numFmtId="171" fontId="20" fillId="13" borderId="35" xfId="2" applyNumberFormat="1" applyFont="1" applyFill="1" applyBorder="1" applyAlignment="1">
      <alignment horizontal="center"/>
    </xf>
    <xf numFmtId="171" fontId="20" fillId="13" borderId="36" xfId="2" applyNumberFormat="1" applyFont="1" applyFill="1" applyBorder="1" applyAlignment="1">
      <alignment horizontal="center"/>
    </xf>
    <xf numFmtId="171" fontId="20" fillId="13" borderId="37" xfId="2" applyNumberFormat="1" applyFont="1" applyFill="1" applyBorder="1" applyAlignment="1">
      <alignment horizontal="center"/>
    </xf>
    <xf numFmtId="0" fontId="14" fillId="0" borderId="0" xfId="2" applyFont="1" applyAlignment="1">
      <alignment horizontal="center" vertical="center"/>
    </xf>
    <xf numFmtId="169" fontId="16" fillId="0" borderId="0" xfId="2" applyNumberFormat="1" applyFont="1" applyAlignment="1">
      <alignment horizontal="right"/>
    </xf>
    <xf numFmtId="170" fontId="16" fillId="0" borderId="0" xfId="2" applyNumberFormat="1" applyFont="1" applyAlignment="1">
      <alignment horizontal="left"/>
    </xf>
    <xf numFmtId="0" fontId="3" fillId="8" borderId="0" xfId="2" applyFont="1" applyFill="1" applyBorder="1" applyAlignment="1">
      <alignment horizontal="center"/>
    </xf>
    <xf numFmtId="0" fontId="13" fillId="0" borderId="0" xfId="2" applyFont="1" applyBorder="1"/>
    <xf numFmtId="0" fontId="17" fillId="9" borderId="0" xfId="2" applyFont="1" applyFill="1" applyBorder="1" applyAlignment="1">
      <alignment horizontal="center"/>
    </xf>
    <xf numFmtId="0" fontId="18" fillId="10" borderId="0" xfId="2" applyFont="1" applyFill="1" applyBorder="1"/>
    <xf numFmtId="0" fontId="3" fillId="11" borderId="0" xfId="2" applyFont="1" applyFill="1" applyBorder="1" applyAlignment="1">
      <alignment horizontal="center"/>
    </xf>
    <xf numFmtId="166" fontId="11" fillId="0" borderId="13" xfId="1" applyNumberFormat="1" applyFont="1" applyBorder="1" applyAlignment="1">
      <alignment horizontal="center" vertical="center"/>
    </xf>
    <xf numFmtId="166" fontId="11" fillId="0" borderId="14" xfId="1" applyNumberFormat="1" applyFont="1" applyBorder="1" applyAlignment="1">
      <alignment horizontal="center" vertical="center"/>
    </xf>
    <xf numFmtId="166" fontId="11" fillId="0" borderId="15" xfId="1" applyNumberFormat="1" applyFont="1" applyBorder="1" applyAlignment="1">
      <alignment horizontal="center" vertical="center"/>
    </xf>
    <xf numFmtId="0" fontId="11" fillId="4" borderId="13" xfId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11" fillId="4" borderId="15" xfId="1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Normal 4" xfId="1"/>
  </cellStyles>
  <dxfs count="77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_Gar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égende"/>
      <sheetName val="ex 05"/>
      <sheetName val="05"/>
      <sheetName val="06"/>
      <sheetName val="Stats  1"/>
      <sheetName val="Stats 2"/>
    </sheetNames>
    <sheetDataSet>
      <sheetData sheetId="0"/>
      <sheetData sheetId="1"/>
      <sheetData sheetId="2">
        <row r="4">
          <cell r="A4" t="str">
            <v>NOMS</v>
          </cell>
          <cell r="B4" t="str">
            <v>Grp</v>
          </cell>
          <cell r="C4">
            <v>43129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43130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43131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43132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43133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43134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43135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 t="str">
            <v>TOTAL ASTREINTE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 t="str">
            <v>TOTAL GARDE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B4" t="str">
            <v>VTU</v>
          </cell>
          <cell r="BC4" t="str">
            <v>VSAV</v>
          </cell>
          <cell r="BD4" t="str">
            <v>Fourgon</v>
          </cell>
          <cell r="BF4" t="str">
            <v>BI</v>
          </cell>
          <cell r="BG4">
            <v>0</v>
          </cell>
          <cell r="BH4">
            <v>0</v>
          </cell>
        </row>
        <row r="5">
          <cell r="A5">
            <v>0</v>
          </cell>
          <cell r="B5">
            <v>0</v>
          </cell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L5">
            <v>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TG</v>
          </cell>
          <cell r="AS5">
            <v>0</v>
          </cell>
          <cell r="AT5" t="str">
            <v>16h00</v>
          </cell>
          <cell r="AU5">
            <v>0</v>
          </cell>
          <cell r="AV5">
            <v>0</v>
          </cell>
          <cell r="AW5" t="str">
            <v>19h30</v>
          </cell>
          <cell r="AX5">
            <v>0</v>
          </cell>
          <cell r="AY5">
            <v>0</v>
          </cell>
          <cell r="AZ5">
            <v>0</v>
          </cell>
          <cell r="BB5">
            <v>0</v>
          </cell>
          <cell r="BC5">
            <v>0</v>
          </cell>
          <cell r="BD5">
            <v>0</v>
          </cell>
          <cell r="BF5" t="str">
            <v>MATIN</v>
          </cell>
          <cell r="BG5">
            <v>0</v>
          </cell>
          <cell r="BH5" t="str">
            <v>Après-midi</v>
          </cell>
        </row>
        <row r="6">
          <cell r="A6">
            <v>0</v>
          </cell>
          <cell r="B6">
            <v>0</v>
          </cell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L6">
            <v>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R6">
            <v>0</v>
          </cell>
          <cell r="AS6">
            <v>0</v>
          </cell>
          <cell r="AT6" t="str">
            <v>VSAV</v>
          </cell>
          <cell r="AU6" t="str">
            <v>FPT</v>
          </cell>
          <cell r="AV6">
            <v>0</v>
          </cell>
          <cell r="AW6" t="str">
            <v>VSAV</v>
          </cell>
          <cell r="AX6" t="str">
            <v>FPT</v>
          </cell>
          <cell r="AY6" t="str">
            <v>TOTAL</v>
          </cell>
          <cell r="AZ6">
            <v>0</v>
          </cell>
          <cell r="BB6">
            <v>0</v>
          </cell>
          <cell r="BC6">
            <v>0</v>
          </cell>
          <cell r="BD6">
            <v>0</v>
          </cell>
          <cell r="BF6" t="str">
            <v>Tournée</v>
          </cell>
          <cell r="BG6" t="str">
            <v>Renfort</v>
          </cell>
          <cell r="BH6" t="str">
            <v>Tournée</v>
          </cell>
        </row>
        <row r="7">
          <cell r="A7" t="str">
            <v>Gueidon</v>
          </cell>
          <cell r="B7">
            <v>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0</v>
          </cell>
          <cell r="BD7">
            <v>0</v>
          </cell>
          <cell r="BF7">
            <v>0</v>
          </cell>
          <cell r="BG7">
            <v>0</v>
          </cell>
          <cell r="BH7">
            <v>0</v>
          </cell>
        </row>
        <row r="8">
          <cell r="A8" t="str">
            <v>Gabelle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2</v>
          </cell>
          <cell r="U8">
            <v>5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 t="str">
            <v>V1</v>
          </cell>
          <cell r="AE8" t="str">
            <v>V1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1</v>
          </cell>
          <cell r="AP8">
            <v>1</v>
          </cell>
          <cell r="AQ8">
            <v>0</v>
          </cell>
          <cell r="AR8">
            <v>2</v>
          </cell>
          <cell r="AS8">
            <v>0</v>
          </cell>
          <cell r="AT8">
            <v>1</v>
          </cell>
          <cell r="AU8">
            <v>0</v>
          </cell>
          <cell r="AV8">
            <v>1</v>
          </cell>
          <cell r="AW8">
            <v>1</v>
          </cell>
          <cell r="AX8">
            <v>0</v>
          </cell>
          <cell r="AY8">
            <v>1</v>
          </cell>
          <cell r="AZ8">
            <v>2</v>
          </cell>
          <cell r="BB8">
            <v>0</v>
          </cell>
          <cell r="BC8">
            <v>2</v>
          </cell>
          <cell r="BD8">
            <v>0</v>
          </cell>
          <cell r="BF8">
            <v>0</v>
          </cell>
          <cell r="BG8">
            <v>0</v>
          </cell>
          <cell r="BH8">
            <v>0</v>
          </cell>
        </row>
        <row r="9">
          <cell r="A9" t="str">
            <v>Marie</v>
          </cell>
          <cell r="B9">
            <v>3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 t="str">
            <v>V1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1</v>
          </cell>
          <cell r="AQ9">
            <v>0</v>
          </cell>
          <cell r="AR9">
            <v>1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1</v>
          </cell>
          <cell r="AX9">
            <v>0</v>
          </cell>
          <cell r="AY9">
            <v>1</v>
          </cell>
          <cell r="AZ9">
            <v>1</v>
          </cell>
          <cell r="BB9">
            <v>0</v>
          </cell>
          <cell r="BC9">
            <v>1</v>
          </cell>
          <cell r="BD9">
            <v>0</v>
          </cell>
          <cell r="BF9">
            <v>0</v>
          </cell>
          <cell r="BG9">
            <v>0</v>
          </cell>
          <cell r="BH9">
            <v>0</v>
          </cell>
        </row>
        <row r="10">
          <cell r="A10" t="str">
            <v>Antoniotti</v>
          </cell>
          <cell r="B10">
            <v>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1</v>
          </cell>
          <cell r="P10" t="str">
            <v>V3</v>
          </cell>
          <cell r="Q10">
            <v>0</v>
          </cell>
          <cell r="R10">
            <v>0</v>
          </cell>
          <cell r="S10">
            <v>0</v>
          </cell>
          <cell r="T10">
            <v>3</v>
          </cell>
          <cell r="U10" t="str">
            <v>VT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1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1</v>
          </cell>
          <cell r="AX10">
            <v>0</v>
          </cell>
          <cell r="AY10">
            <v>1</v>
          </cell>
          <cell r="AZ10">
            <v>1</v>
          </cell>
          <cell r="BB10">
            <v>1</v>
          </cell>
          <cell r="BC10">
            <v>1</v>
          </cell>
          <cell r="BD10">
            <v>0</v>
          </cell>
          <cell r="BF10">
            <v>0</v>
          </cell>
          <cell r="BG10">
            <v>0</v>
          </cell>
          <cell r="BH10">
            <v>0</v>
          </cell>
        </row>
        <row r="11">
          <cell r="A11" t="str">
            <v>Baret</v>
          </cell>
          <cell r="B11">
            <v>3</v>
          </cell>
          <cell r="C11">
            <v>1</v>
          </cell>
          <cell r="D11">
            <v>4</v>
          </cell>
          <cell r="E11">
            <v>6</v>
          </cell>
          <cell r="F11">
            <v>3</v>
          </cell>
          <cell r="G11">
            <v>6</v>
          </cell>
          <cell r="H11" t="str">
            <v>VT</v>
          </cell>
          <cell r="I11">
            <v>3</v>
          </cell>
          <cell r="J11">
            <v>3</v>
          </cell>
          <cell r="K11" t="str">
            <v>V1</v>
          </cell>
          <cell r="L11">
            <v>6</v>
          </cell>
          <cell r="M11">
            <v>0</v>
          </cell>
          <cell r="N11">
            <v>0</v>
          </cell>
          <cell r="O11">
            <v>0</v>
          </cell>
          <cell r="P11" t="str">
            <v>VT</v>
          </cell>
          <cell r="Q11">
            <v>3</v>
          </cell>
          <cell r="R11" t="str">
            <v>VT</v>
          </cell>
          <cell r="S11">
            <v>5</v>
          </cell>
          <cell r="T11">
            <v>7</v>
          </cell>
          <cell r="U11" t="str">
            <v>V3</v>
          </cell>
          <cell r="V11">
            <v>2</v>
          </cell>
          <cell r="W11">
            <v>0</v>
          </cell>
          <cell r="X11">
            <v>0</v>
          </cell>
          <cell r="Y11">
            <v>0</v>
          </cell>
          <cell r="Z11" t="str">
            <v>VT</v>
          </cell>
          <cell r="AA11">
            <v>1</v>
          </cell>
          <cell r="AB11">
            <v>0</v>
          </cell>
          <cell r="AC11">
            <v>0</v>
          </cell>
          <cell r="AD11">
            <v>0</v>
          </cell>
          <cell r="AE11">
            <v>1</v>
          </cell>
          <cell r="AF11">
            <v>2</v>
          </cell>
          <cell r="AG11">
            <v>2</v>
          </cell>
          <cell r="AH11">
            <v>3</v>
          </cell>
          <cell r="AI11">
            <v>3</v>
          </cell>
          <cell r="AJ11">
            <v>2</v>
          </cell>
          <cell r="AK11" t="str">
            <v>VT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2</v>
          </cell>
          <cell r="AQ11">
            <v>0</v>
          </cell>
          <cell r="AR11">
            <v>2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2</v>
          </cell>
          <cell r="AX11">
            <v>0</v>
          </cell>
          <cell r="AY11">
            <v>2</v>
          </cell>
          <cell r="AZ11">
            <v>2</v>
          </cell>
          <cell r="BB11">
            <v>5</v>
          </cell>
          <cell r="BC11">
            <v>2</v>
          </cell>
          <cell r="BD11">
            <v>0</v>
          </cell>
          <cell r="BF11">
            <v>0</v>
          </cell>
          <cell r="BG11">
            <v>0</v>
          </cell>
          <cell r="BH11">
            <v>0</v>
          </cell>
        </row>
        <row r="12">
          <cell r="A12" t="str">
            <v>Vigouroux</v>
          </cell>
          <cell r="B12">
            <v>3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F1</v>
          </cell>
          <cell r="AA12">
            <v>0</v>
          </cell>
          <cell r="AB12">
            <v>0</v>
          </cell>
          <cell r="AC12">
            <v>0</v>
          </cell>
          <cell r="AD12" t="str">
            <v>VT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1</v>
          </cell>
          <cell r="AQ12">
            <v>0</v>
          </cell>
          <cell r="AR12">
            <v>1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1</v>
          </cell>
          <cell r="AY12">
            <v>1</v>
          </cell>
          <cell r="AZ12">
            <v>1</v>
          </cell>
          <cell r="BB12">
            <v>1</v>
          </cell>
          <cell r="BC12">
            <v>0</v>
          </cell>
          <cell r="BD12">
            <v>1</v>
          </cell>
          <cell r="BF12">
            <v>0</v>
          </cell>
          <cell r="BG12">
            <v>0</v>
          </cell>
          <cell r="BH12">
            <v>0</v>
          </cell>
        </row>
        <row r="13">
          <cell r="A13" t="str">
            <v>Le Goff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1</v>
          </cell>
          <cell r="AE13" t="str">
            <v>V2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1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1</v>
          </cell>
          <cell r="AX13">
            <v>0</v>
          </cell>
          <cell r="AY13">
            <v>1</v>
          </cell>
          <cell r="AZ13">
            <v>1</v>
          </cell>
          <cell r="BA13">
            <v>0</v>
          </cell>
          <cell r="BB13">
            <v>0</v>
          </cell>
          <cell r="BC13">
            <v>1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</row>
        <row r="14">
          <cell r="A14" t="str">
            <v>Penichon</v>
          </cell>
          <cell r="B14">
            <v>3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 t="str">
            <v>VT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2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V2</v>
          </cell>
          <cell r="AA14">
            <v>2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 t="str">
            <v>VT</v>
          </cell>
          <cell r="AK14">
            <v>2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1</v>
          </cell>
          <cell r="AQ14">
            <v>0</v>
          </cell>
          <cell r="AR14">
            <v>1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1</v>
          </cell>
          <cell r="AX14">
            <v>0</v>
          </cell>
          <cell r="AY14">
            <v>1</v>
          </cell>
          <cell r="AZ14">
            <v>1</v>
          </cell>
          <cell r="BB14">
            <v>2</v>
          </cell>
          <cell r="BC14">
            <v>1</v>
          </cell>
          <cell r="BD14">
            <v>0</v>
          </cell>
          <cell r="BF14">
            <v>0</v>
          </cell>
          <cell r="BG14">
            <v>0</v>
          </cell>
          <cell r="BH14">
            <v>0</v>
          </cell>
        </row>
        <row r="15">
          <cell r="A15" t="str">
            <v>Gendre</v>
          </cell>
          <cell r="B15">
            <v>3</v>
          </cell>
          <cell r="C15">
            <v>0</v>
          </cell>
          <cell r="D15">
            <v>0</v>
          </cell>
          <cell r="E15">
            <v>0</v>
          </cell>
          <cell r="F15" t="str">
            <v>VT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2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 t="str">
            <v>VT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 t="str">
            <v>VT</v>
          </cell>
          <cell r="AG15">
            <v>1</v>
          </cell>
          <cell r="AH15">
            <v>0</v>
          </cell>
          <cell r="AI15">
            <v>0</v>
          </cell>
          <cell r="AJ15" t="str">
            <v>V2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1</v>
          </cell>
          <cell r="AX15">
            <v>0</v>
          </cell>
          <cell r="AY15">
            <v>1</v>
          </cell>
          <cell r="AZ15">
            <v>1</v>
          </cell>
          <cell r="BB15">
            <v>3</v>
          </cell>
          <cell r="BC15">
            <v>1</v>
          </cell>
          <cell r="BD15">
            <v>0</v>
          </cell>
          <cell r="BF15">
            <v>0</v>
          </cell>
          <cell r="BG15">
            <v>0</v>
          </cell>
          <cell r="BH15">
            <v>0</v>
          </cell>
        </row>
        <row r="16">
          <cell r="A16" t="str">
            <v>Huot</v>
          </cell>
          <cell r="B16">
            <v>2</v>
          </cell>
          <cell r="C16">
            <v>0</v>
          </cell>
          <cell r="D16">
            <v>0</v>
          </cell>
          <cell r="E16">
            <v>0</v>
          </cell>
          <cell r="F16" t="str">
            <v>F1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1</v>
          </cell>
          <cell r="AQ16">
            <v>0</v>
          </cell>
          <cell r="AR16">
            <v>1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1</v>
          </cell>
          <cell r="AY16">
            <v>1</v>
          </cell>
          <cell r="AZ16">
            <v>1</v>
          </cell>
          <cell r="BB16">
            <v>0</v>
          </cell>
          <cell r="BC16">
            <v>0</v>
          </cell>
          <cell r="BD16">
            <v>1</v>
          </cell>
          <cell r="BF16">
            <v>0</v>
          </cell>
          <cell r="BG16">
            <v>0</v>
          </cell>
          <cell r="BH16">
            <v>0</v>
          </cell>
        </row>
        <row r="17">
          <cell r="A17" t="str">
            <v>Lesbegueries</v>
          </cell>
          <cell r="B17">
            <v>4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1</v>
          </cell>
          <cell r="Q17">
            <v>7</v>
          </cell>
          <cell r="R17">
            <v>0</v>
          </cell>
          <cell r="S17">
            <v>3</v>
          </cell>
          <cell r="T17">
            <v>6</v>
          </cell>
          <cell r="U17">
            <v>3</v>
          </cell>
          <cell r="V17">
            <v>3</v>
          </cell>
          <cell r="W17">
            <v>0</v>
          </cell>
          <cell r="X17">
            <v>3</v>
          </cell>
          <cell r="Y17">
            <v>3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 t="str">
            <v>ok</v>
          </cell>
          <cell r="BB17">
            <v>0</v>
          </cell>
          <cell r="BC17">
            <v>0</v>
          </cell>
          <cell r="BD17">
            <v>0</v>
          </cell>
          <cell r="BF17">
            <v>0</v>
          </cell>
          <cell r="BG17">
            <v>0</v>
          </cell>
          <cell r="BH17">
            <v>0</v>
          </cell>
        </row>
        <row r="18">
          <cell r="A18" t="str">
            <v>Chanseaume</v>
          </cell>
          <cell r="B18">
            <v>2</v>
          </cell>
          <cell r="C18" t="str">
            <v>VT</v>
          </cell>
          <cell r="D18">
            <v>2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 t="str">
            <v>V3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1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1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1</v>
          </cell>
          <cell r="AX18">
            <v>0</v>
          </cell>
          <cell r="AY18">
            <v>1</v>
          </cell>
          <cell r="AZ18">
            <v>1</v>
          </cell>
          <cell r="BB18">
            <v>1</v>
          </cell>
          <cell r="BC18">
            <v>1</v>
          </cell>
          <cell r="BD18">
            <v>0</v>
          </cell>
          <cell r="BF18">
            <v>0</v>
          </cell>
          <cell r="BG18">
            <v>0</v>
          </cell>
          <cell r="BH18">
            <v>0</v>
          </cell>
        </row>
        <row r="19">
          <cell r="A19" t="str">
            <v>Sangaré</v>
          </cell>
          <cell r="B19">
            <v>2</v>
          </cell>
          <cell r="C19">
            <v>2</v>
          </cell>
          <cell r="D19">
            <v>5</v>
          </cell>
          <cell r="E19">
            <v>5</v>
          </cell>
          <cell r="F19">
            <v>0</v>
          </cell>
          <cell r="G19">
            <v>0</v>
          </cell>
          <cell r="H19">
            <v>1</v>
          </cell>
          <cell r="I19">
            <v>4</v>
          </cell>
          <cell r="J19">
            <v>2</v>
          </cell>
          <cell r="K19">
            <v>0</v>
          </cell>
          <cell r="L19">
            <v>0</v>
          </cell>
          <cell r="M19">
            <v>1</v>
          </cell>
          <cell r="N19">
            <v>2</v>
          </cell>
          <cell r="O19">
            <v>3</v>
          </cell>
          <cell r="P19">
            <v>0</v>
          </cell>
          <cell r="Q19">
            <v>6</v>
          </cell>
          <cell r="R19">
            <v>1</v>
          </cell>
          <cell r="S19">
            <v>4</v>
          </cell>
          <cell r="T19">
            <v>4</v>
          </cell>
          <cell r="U19">
            <v>0</v>
          </cell>
          <cell r="V19">
            <v>0</v>
          </cell>
          <cell r="W19" t="str">
            <v>VT</v>
          </cell>
          <cell r="X19">
            <v>2</v>
          </cell>
          <cell r="Y19">
            <v>1</v>
          </cell>
          <cell r="Z19">
            <v>0</v>
          </cell>
          <cell r="AA19">
            <v>4</v>
          </cell>
          <cell r="AB19" t="str">
            <v>VT</v>
          </cell>
          <cell r="AC19">
            <v>2</v>
          </cell>
          <cell r="AD19">
            <v>4</v>
          </cell>
          <cell r="AE19" t="str">
            <v>VT</v>
          </cell>
          <cell r="AF19">
            <v>1</v>
          </cell>
          <cell r="AG19">
            <v>3</v>
          </cell>
          <cell r="AH19">
            <v>4</v>
          </cell>
          <cell r="AI19">
            <v>2</v>
          </cell>
          <cell r="AJ19" t="str">
            <v>V3</v>
          </cell>
          <cell r="AK19">
            <v>4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1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1</v>
          </cell>
          <cell r="AX19">
            <v>0</v>
          </cell>
          <cell r="AY19">
            <v>1</v>
          </cell>
          <cell r="AZ19">
            <v>1</v>
          </cell>
          <cell r="BA19">
            <v>0</v>
          </cell>
          <cell r="BB19">
            <v>3</v>
          </cell>
          <cell r="BC19">
            <v>1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</row>
        <row r="20">
          <cell r="A20" t="str">
            <v>Lacoste</v>
          </cell>
          <cell r="B20">
            <v>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 t="str">
            <v>VT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 t="str">
            <v>V1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1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1</v>
          </cell>
          <cell r="AU20">
            <v>0</v>
          </cell>
          <cell r="AV20">
            <v>1</v>
          </cell>
          <cell r="AW20">
            <v>0</v>
          </cell>
          <cell r="AX20">
            <v>0</v>
          </cell>
          <cell r="AY20">
            <v>0</v>
          </cell>
          <cell r="AZ20">
            <v>1</v>
          </cell>
          <cell r="BB20">
            <v>1</v>
          </cell>
          <cell r="BC20">
            <v>1</v>
          </cell>
          <cell r="BD20">
            <v>0</v>
          </cell>
          <cell r="BF20">
            <v>0</v>
          </cell>
          <cell r="BG20">
            <v>0</v>
          </cell>
          <cell r="BH20">
            <v>0</v>
          </cell>
        </row>
        <row r="21">
          <cell r="A21" t="str">
            <v>Gonzalez M</v>
          </cell>
          <cell r="B21">
            <v>4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 t="str">
            <v>V1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 t="str">
            <v>VT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1</v>
          </cell>
          <cell r="AP21">
            <v>0</v>
          </cell>
          <cell r="AQ21">
            <v>0</v>
          </cell>
          <cell r="AR21">
            <v>1</v>
          </cell>
          <cell r="AS21">
            <v>0</v>
          </cell>
          <cell r="AT21">
            <v>1</v>
          </cell>
          <cell r="AU21">
            <v>0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1</v>
          </cell>
          <cell r="BB21">
            <v>1</v>
          </cell>
          <cell r="BC21">
            <v>1</v>
          </cell>
          <cell r="BD21">
            <v>0</v>
          </cell>
          <cell r="BF21">
            <v>0</v>
          </cell>
          <cell r="BG21">
            <v>0</v>
          </cell>
          <cell r="BH21">
            <v>0</v>
          </cell>
        </row>
        <row r="22">
          <cell r="A22" t="str">
            <v>Diaz L</v>
          </cell>
          <cell r="B22">
            <v>1</v>
          </cell>
          <cell r="C22">
            <v>0</v>
          </cell>
          <cell r="D22" t="str">
            <v>VT</v>
          </cell>
          <cell r="E22">
            <v>3</v>
          </cell>
          <cell r="F22">
            <v>0</v>
          </cell>
          <cell r="G22">
            <v>0</v>
          </cell>
          <cell r="H22">
            <v>0</v>
          </cell>
          <cell r="I22">
            <v>2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4</v>
          </cell>
          <cell r="P22">
            <v>0</v>
          </cell>
          <cell r="Q22">
            <v>0</v>
          </cell>
          <cell r="R22">
            <v>0</v>
          </cell>
          <cell r="S22">
            <v>1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 t="str">
            <v>VT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2</v>
          </cell>
          <cell r="BC22">
            <v>0</v>
          </cell>
          <cell r="BD22">
            <v>0</v>
          </cell>
          <cell r="BF22">
            <v>0</v>
          </cell>
          <cell r="BG22">
            <v>0</v>
          </cell>
          <cell r="BH22">
            <v>0</v>
          </cell>
        </row>
        <row r="23">
          <cell r="A23" t="str">
            <v>Sowu</v>
          </cell>
          <cell r="B23">
            <v>2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 t="str">
            <v>VT</v>
          </cell>
          <cell r="AD23" t="str">
            <v>V2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1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1</v>
          </cell>
          <cell r="AU23">
            <v>0</v>
          </cell>
          <cell r="AV23">
            <v>1</v>
          </cell>
          <cell r="AW23">
            <v>0</v>
          </cell>
          <cell r="AX23">
            <v>0</v>
          </cell>
          <cell r="AY23">
            <v>0</v>
          </cell>
          <cell r="AZ23">
            <v>1</v>
          </cell>
          <cell r="BB23">
            <v>1</v>
          </cell>
          <cell r="BC23">
            <v>1</v>
          </cell>
          <cell r="BD23">
            <v>0</v>
          </cell>
          <cell r="BF23">
            <v>0</v>
          </cell>
          <cell r="BG23">
            <v>0</v>
          </cell>
          <cell r="BH23">
            <v>0</v>
          </cell>
        </row>
        <row r="24">
          <cell r="A24" t="str">
            <v>Chambaudry</v>
          </cell>
          <cell r="B24">
            <v>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1</v>
          </cell>
          <cell r="AJ24" t="str">
            <v>V1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1</v>
          </cell>
          <cell r="AQ24">
            <v>0</v>
          </cell>
          <cell r="AR24">
            <v>1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1</v>
          </cell>
          <cell r="AX24">
            <v>0</v>
          </cell>
          <cell r="AY24">
            <v>1</v>
          </cell>
          <cell r="AZ24">
            <v>1</v>
          </cell>
          <cell r="BA24">
            <v>0</v>
          </cell>
          <cell r="BB24">
            <v>0</v>
          </cell>
          <cell r="BC24">
            <v>1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</row>
        <row r="25">
          <cell r="A25" t="str">
            <v>Parszevski</v>
          </cell>
          <cell r="B25">
            <v>3</v>
          </cell>
          <cell r="C25">
            <v>0</v>
          </cell>
          <cell r="D25">
            <v>1</v>
          </cell>
          <cell r="E25" t="str">
            <v>V1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1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1</v>
          </cell>
          <cell r="AU25">
            <v>0</v>
          </cell>
          <cell r="AV25">
            <v>1</v>
          </cell>
          <cell r="AW25">
            <v>0</v>
          </cell>
          <cell r="AX25">
            <v>0</v>
          </cell>
          <cell r="AY25">
            <v>0</v>
          </cell>
          <cell r="AZ25">
            <v>1</v>
          </cell>
          <cell r="BB25">
            <v>0</v>
          </cell>
          <cell r="BC25">
            <v>1</v>
          </cell>
          <cell r="BD25">
            <v>0</v>
          </cell>
          <cell r="BF25">
            <v>0</v>
          </cell>
          <cell r="BG25">
            <v>0</v>
          </cell>
          <cell r="BH25">
            <v>0</v>
          </cell>
        </row>
        <row r="26">
          <cell r="A26" t="str">
            <v>Lamalle</v>
          </cell>
          <cell r="B26">
            <v>4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 t="str">
            <v>F1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1</v>
          </cell>
          <cell r="AY26">
            <v>1</v>
          </cell>
          <cell r="AZ26">
            <v>1</v>
          </cell>
          <cell r="BB26">
            <v>0</v>
          </cell>
          <cell r="BC26">
            <v>0</v>
          </cell>
          <cell r="BD26">
            <v>1</v>
          </cell>
          <cell r="BF26">
            <v>0</v>
          </cell>
          <cell r="BG26">
            <v>0</v>
          </cell>
          <cell r="BH26">
            <v>0</v>
          </cell>
        </row>
        <row r="27">
          <cell r="A27" t="str">
            <v>Desmond</v>
          </cell>
          <cell r="B27">
            <v>1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 t="str">
            <v>V2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1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1</v>
          </cell>
          <cell r="AX27">
            <v>0</v>
          </cell>
          <cell r="AY27">
            <v>1</v>
          </cell>
          <cell r="AZ27">
            <v>1</v>
          </cell>
          <cell r="BB27">
            <v>0</v>
          </cell>
          <cell r="BC27">
            <v>1</v>
          </cell>
          <cell r="BD27">
            <v>0</v>
          </cell>
          <cell r="BF27">
            <v>0</v>
          </cell>
          <cell r="BG27">
            <v>0</v>
          </cell>
          <cell r="BH27">
            <v>0</v>
          </cell>
        </row>
        <row r="28">
          <cell r="A28" t="str">
            <v>Xu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 t="str">
            <v>V1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1</v>
          </cell>
          <cell r="AU28">
            <v>0</v>
          </cell>
          <cell r="AV28">
            <v>1</v>
          </cell>
          <cell r="AW28">
            <v>0</v>
          </cell>
          <cell r="AX28">
            <v>0</v>
          </cell>
          <cell r="AY28">
            <v>0</v>
          </cell>
          <cell r="AZ28">
            <v>1</v>
          </cell>
          <cell r="BA28">
            <v>0</v>
          </cell>
          <cell r="BB28">
            <v>0</v>
          </cell>
          <cell r="BC28">
            <v>1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</row>
        <row r="29">
          <cell r="A29" t="str">
            <v>Borie</v>
          </cell>
          <cell r="B29">
            <v>3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 t="str">
            <v>VT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1</v>
          </cell>
          <cell r="BC29">
            <v>0</v>
          </cell>
          <cell r="BD29">
            <v>0</v>
          </cell>
          <cell r="BF29">
            <v>0</v>
          </cell>
          <cell r="BG29">
            <v>0</v>
          </cell>
          <cell r="BH29">
            <v>0</v>
          </cell>
        </row>
        <row r="30">
          <cell r="A30" t="str">
            <v>Diarra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V1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1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1</v>
          </cell>
          <cell r="AU30">
            <v>0</v>
          </cell>
          <cell r="AV30">
            <v>1</v>
          </cell>
          <cell r="AW30">
            <v>0</v>
          </cell>
          <cell r="AX30">
            <v>0</v>
          </cell>
          <cell r="AY30">
            <v>0</v>
          </cell>
          <cell r="AZ30">
            <v>1</v>
          </cell>
          <cell r="BB30">
            <v>0</v>
          </cell>
          <cell r="BC30">
            <v>1</v>
          </cell>
          <cell r="BD30">
            <v>0</v>
          </cell>
          <cell r="BF30">
            <v>0</v>
          </cell>
          <cell r="BG30">
            <v>0</v>
          </cell>
          <cell r="BH30">
            <v>0</v>
          </cell>
        </row>
        <row r="31">
          <cell r="A31" t="str">
            <v>Delort</v>
          </cell>
          <cell r="B31">
            <v>2</v>
          </cell>
          <cell r="C31">
            <v>0</v>
          </cell>
          <cell r="D31">
            <v>3</v>
          </cell>
          <cell r="E31">
            <v>4</v>
          </cell>
          <cell r="F31" t="str">
            <v>V2</v>
          </cell>
          <cell r="G31">
            <v>2</v>
          </cell>
          <cell r="H31">
            <v>0</v>
          </cell>
          <cell r="I31">
            <v>5</v>
          </cell>
          <cell r="J31" t="str">
            <v>VT</v>
          </cell>
          <cell r="K31">
            <v>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1</v>
          </cell>
          <cell r="AI31" t="str">
            <v>VT</v>
          </cell>
          <cell r="AJ31">
            <v>1</v>
          </cell>
          <cell r="AK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1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1</v>
          </cell>
          <cell r="AX31">
            <v>0</v>
          </cell>
          <cell r="AY31">
            <v>1</v>
          </cell>
          <cell r="AZ31">
            <v>1</v>
          </cell>
          <cell r="BA31">
            <v>0</v>
          </cell>
          <cell r="BB31">
            <v>2</v>
          </cell>
          <cell r="BC31">
            <v>1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</row>
        <row r="32">
          <cell r="A32" t="str">
            <v>Jamme</v>
          </cell>
          <cell r="B32">
            <v>1</v>
          </cell>
          <cell r="C32">
            <v>0</v>
          </cell>
          <cell r="D32">
            <v>0</v>
          </cell>
          <cell r="E32">
            <v>2</v>
          </cell>
          <cell r="F32">
            <v>0</v>
          </cell>
          <cell r="G32">
            <v>5</v>
          </cell>
          <cell r="H32">
            <v>0</v>
          </cell>
          <cell r="I32">
            <v>0</v>
          </cell>
          <cell r="J32">
            <v>0</v>
          </cell>
          <cell r="K32" t="str">
            <v>VT</v>
          </cell>
          <cell r="L32">
            <v>4</v>
          </cell>
          <cell r="M32" t="str">
            <v>VT</v>
          </cell>
          <cell r="N32">
            <v>1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 t="str">
            <v>VT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3</v>
          </cell>
          <cell r="AG32">
            <v>0</v>
          </cell>
          <cell r="AH32">
            <v>0</v>
          </cell>
          <cell r="AI32" t="str">
            <v>V2</v>
          </cell>
          <cell r="AJ32" t="str">
            <v>F1</v>
          </cell>
          <cell r="AK32">
            <v>1</v>
          </cell>
          <cell r="AL32">
            <v>0</v>
          </cell>
          <cell r="AM32">
            <v>0</v>
          </cell>
          <cell r="AN32">
            <v>0</v>
          </cell>
          <cell r="AO32">
            <v>1</v>
          </cell>
          <cell r="AP32">
            <v>1</v>
          </cell>
          <cell r="AQ32">
            <v>0</v>
          </cell>
          <cell r="AR32">
            <v>2</v>
          </cell>
          <cell r="AS32">
            <v>0</v>
          </cell>
          <cell r="AT32">
            <v>1</v>
          </cell>
          <cell r="AU32">
            <v>0</v>
          </cell>
          <cell r="AV32">
            <v>1</v>
          </cell>
          <cell r="AW32">
            <v>0</v>
          </cell>
          <cell r="AX32">
            <v>1</v>
          </cell>
          <cell r="AY32">
            <v>1</v>
          </cell>
          <cell r="AZ32">
            <v>2</v>
          </cell>
          <cell r="BB32">
            <v>3</v>
          </cell>
          <cell r="BC32">
            <v>1</v>
          </cell>
          <cell r="BD32">
            <v>1</v>
          </cell>
          <cell r="BF32">
            <v>0</v>
          </cell>
          <cell r="BG32">
            <v>0</v>
          </cell>
          <cell r="BH32">
            <v>0</v>
          </cell>
        </row>
        <row r="33">
          <cell r="A33" t="str">
            <v>Labaste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V1</v>
          </cell>
          <cell r="Q33">
            <v>4</v>
          </cell>
          <cell r="R33">
            <v>0</v>
          </cell>
          <cell r="S33">
            <v>0</v>
          </cell>
          <cell r="T33">
            <v>0</v>
          </cell>
          <cell r="U33" t="str">
            <v>V2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2</v>
          </cell>
          <cell r="AQ33">
            <v>0</v>
          </cell>
          <cell r="AR33">
            <v>2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2</v>
          </cell>
          <cell r="AX33">
            <v>0</v>
          </cell>
          <cell r="AY33">
            <v>2</v>
          </cell>
          <cell r="AZ33">
            <v>2</v>
          </cell>
          <cell r="BB33">
            <v>0</v>
          </cell>
          <cell r="BC33">
            <v>2</v>
          </cell>
          <cell r="BD33">
            <v>0</v>
          </cell>
          <cell r="BF33">
            <v>0</v>
          </cell>
          <cell r="BG33">
            <v>0</v>
          </cell>
          <cell r="BH33">
            <v>0</v>
          </cell>
        </row>
        <row r="34">
          <cell r="A34" t="str">
            <v>Zingarelli</v>
          </cell>
          <cell r="B34">
            <v>4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1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</row>
        <row r="35">
          <cell r="A35" t="str">
            <v>Tohno.T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 t="str">
            <v>VT</v>
          </cell>
          <cell r="J35">
            <v>1</v>
          </cell>
          <cell r="K35">
            <v>2</v>
          </cell>
          <cell r="L35">
            <v>0</v>
          </cell>
          <cell r="M35">
            <v>0</v>
          </cell>
          <cell r="N35" t="str">
            <v>VT</v>
          </cell>
          <cell r="O35">
            <v>2</v>
          </cell>
          <cell r="P35">
            <v>0</v>
          </cell>
          <cell r="Q35">
            <v>0</v>
          </cell>
          <cell r="R35">
            <v>0</v>
          </cell>
          <cell r="S35">
            <v>2</v>
          </cell>
          <cell r="T35">
            <v>5</v>
          </cell>
          <cell r="U35" t="str">
            <v>V1</v>
          </cell>
          <cell r="V35">
            <v>0</v>
          </cell>
          <cell r="W35">
            <v>0</v>
          </cell>
          <cell r="X35">
            <v>1</v>
          </cell>
          <cell r="Y35">
            <v>2</v>
          </cell>
          <cell r="Z35">
            <v>0</v>
          </cell>
          <cell r="AA35">
            <v>0</v>
          </cell>
          <cell r="AB35">
            <v>0</v>
          </cell>
          <cell r="AC35">
            <v>1</v>
          </cell>
          <cell r="AD35">
            <v>3</v>
          </cell>
          <cell r="AE35" t="str">
            <v>V3</v>
          </cell>
          <cell r="AF35">
            <v>0</v>
          </cell>
          <cell r="AG35">
            <v>0</v>
          </cell>
          <cell r="AH35">
            <v>5</v>
          </cell>
          <cell r="AI35">
            <v>4</v>
          </cell>
          <cell r="AJ35">
            <v>3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2</v>
          </cell>
          <cell r="AQ35">
            <v>0</v>
          </cell>
          <cell r="AR35">
            <v>2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2</v>
          </cell>
          <cell r="AX35">
            <v>0</v>
          </cell>
          <cell r="AY35">
            <v>2</v>
          </cell>
          <cell r="AZ35">
            <v>2</v>
          </cell>
          <cell r="BB35">
            <v>2</v>
          </cell>
          <cell r="BC35">
            <v>2</v>
          </cell>
          <cell r="BD35">
            <v>0</v>
          </cell>
          <cell r="BF35">
            <v>0</v>
          </cell>
          <cell r="BG35">
            <v>0</v>
          </cell>
          <cell r="BH35">
            <v>0</v>
          </cell>
        </row>
        <row r="36">
          <cell r="A36" t="str">
            <v>Garnet</v>
          </cell>
          <cell r="B36">
            <v>1</v>
          </cell>
          <cell r="C36">
            <v>0</v>
          </cell>
          <cell r="D36">
            <v>0</v>
          </cell>
          <cell r="E36" t="str">
            <v>VT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1</v>
          </cell>
          <cell r="BC36">
            <v>0</v>
          </cell>
          <cell r="BD36">
            <v>0</v>
          </cell>
          <cell r="BF36">
            <v>0</v>
          </cell>
          <cell r="BG36">
            <v>0</v>
          </cell>
          <cell r="BH36">
            <v>0</v>
          </cell>
        </row>
        <row r="37">
          <cell r="A37" t="str">
            <v>Crotti</v>
          </cell>
          <cell r="B37">
            <v>2</v>
          </cell>
          <cell r="C37">
            <v>0</v>
          </cell>
          <cell r="D37">
            <v>0</v>
          </cell>
          <cell r="E37">
            <v>0</v>
          </cell>
          <cell r="F37" t="str">
            <v>V1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 t="str">
            <v>F2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2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2</v>
          </cell>
          <cell r="AQ37">
            <v>0</v>
          </cell>
          <cell r="AR37">
            <v>2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1</v>
          </cell>
          <cell r="AX37">
            <v>1</v>
          </cell>
          <cell r="AY37">
            <v>2</v>
          </cell>
          <cell r="AZ37">
            <v>2</v>
          </cell>
          <cell r="BA37">
            <v>0</v>
          </cell>
          <cell r="BB37">
            <v>0</v>
          </cell>
          <cell r="BC37">
            <v>1</v>
          </cell>
          <cell r="BD37">
            <v>1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</row>
        <row r="38">
          <cell r="A38" t="str">
            <v>Verdon</v>
          </cell>
          <cell r="B38">
            <v>4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 t="str">
            <v>VT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1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4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1</v>
          </cell>
          <cell r="BC38">
            <v>0</v>
          </cell>
          <cell r="BD38">
            <v>0</v>
          </cell>
          <cell r="BF38">
            <v>0</v>
          </cell>
          <cell r="BG38">
            <v>0</v>
          </cell>
          <cell r="BH38">
            <v>0</v>
          </cell>
        </row>
        <row r="39">
          <cell r="A39" t="str">
            <v>Fourcroy</v>
          </cell>
          <cell r="B39">
            <v>3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1</v>
          </cell>
          <cell r="J39" t="str">
            <v>V1</v>
          </cell>
          <cell r="K39">
            <v>3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VT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2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1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1</v>
          </cell>
          <cell r="AU39">
            <v>0</v>
          </cell>
          <cell r="AV39">
            <v>1</v>
          </cell>
          <cell r="AW39">
            <v>0</v>
          </cell>
          <cell r="AX39">
            <v>0</v>
          </cell>
          <cell r="AY39">
            <v>0</v>
          </cell>
          <cell r="AZ39">
            <v>1</v>
          </cell>
          <cell r="BA39">
            <v>0</v>
          </cell>
          <cell r="BB39">
            <v>1</v>
          </cell>
          <cell r="BC39">
            <v>1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</row>
        <row r="40">
          <cell r="A40" t="str">
            <v>Diantété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2</v>
          </cell>
          <cell r="G40">
            <v>4</v>
          </cell>
          <cell r="H40">
            <v>0</v>
          </cell>
          <cell r="I40">
            <v>0</v>
          </cell>
          <cell r="J40">
            <v>0</v>
          </cell>
          <cell r="K40" t="str">
            <v>V2</v>
          </cell>
          <cell r="L40">
            <v>7</v>
          </cell>
          <cell r="M40">
            <v>0</v>
          </cell>
          <cell r="N40">
            <v>0</v>
          </cell>
          <cell r="O40">
            <v>0</v>
          </cell>
          <cell r="P40">
            <v>2</v>
          </cell>
          <cell r="Q40" t="str">
            <v>VT</v>
          </cell>
          <cell r="R40">
            <v>0</v>
          </cell>
          <cell r="S40">
            <v>0</v>
          </cell>
          <cell r="T40">
            <v>0</v>
          </cell>
          <cell r="U40">
            <v>4</v>
          </cell>
          <cell r="V40">
            <v>1</v>
          </cell>
          <cell r="W40">
            <v>0</v>
          </cell>
          <cell r="X40">
            <v>0</v>
          </cell>
          <cell r="Y40">
            <v>0</v>
          </cell>
          <cell r="Z40" t="str">
            <v>V3</v>
          </cell>
          <cell r="AA40">
            <v>3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 t="str">
            <v>VT</v>
          </cell>
          <cell r="AH40">
            <v>2</v>
          </cell>
          <cell r="AI40">
            <v>5</v>
          </cell>
          <cell r="AJ40">
            <v>4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2</v>
          </cell>
          <cell r="AQ40">
            <v>0</v>
          </cell>
          <cell r="AR40">
            <v>2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2</v>
          </cell>
          <cell r="AX40">
            <v>0</v>
          </cell>
          <cell r="AY40">
            <v>2</v>
          </cell>
          <cell r="AZ40">
            <v>2</v>
          </cell>
          <cell r="BB40">
            <v>2</v>
          </cell>
          <cell r="BC40">
            <v>2</v>
          </cell>
          <cell r="BD40">
            <v>0</v>
          </cell>
          <cell r="BF40">
            <v>0</v>
          </cell>
          <cell r="BG40">
            <v>0</v>
          </cell>
          <cell r="BH40">
            <v>0</v>
          </cell>
        </row>
        <row r="41">
          <cell r="A41" t="str">
            <v>Soukiassian</v>
          </cell>
          <cell r="B41">
            <v>2</v>
          </cell>
          <cell r="C41">
            <v>0</v>
          </cell>
          <cell r="D41">
            <v>0</v>
          </cell>
          <cell r="E41">
            <v>0</v>
          </cell>
          <cell r="F41" t="str">
            <v>V3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 t="str">
            <v>F1</v>
          </cell>
          <cell r="Q41">
            <v>5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2</v>
          </cell>
          <cell r="AQ41">
            <v>0</v>
          </cell>
          <cell r="AR41">
            <v>2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1</v>
          </cell>
          <cell r="AX41">
            <v>1</v>
          </cell>
          <cell r="AY41">
            <v>2</v>
          </cell>
          <cell r="AZ41">
            <v>2</v>
          </cell>
          <cell r="BA41">
            <v>0</v>
          </cell>
          <cell r="BB41">
            <v>0</v>
          </cell>
          <cell r="BC41">
            <v>1</v>
          </cell>
          <cell r="BD41">
            <v>1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</row>
        <row r="42">
          <cell r="A42" t="str">
            <v>Koualed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 t="str">
            <v>F1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1</v>
          </cell>
          <cell r="AY42">
            <v>1</v>
          </cell>
          <cell r="AZ42">
            <v>1</v>
          </cell>
          <cell r="BB42">
            <v>0</v>
          </cell>
          <cell r="BC42">
            <v>0</v>
          </cell>
          <cell r="BD42">
            <v>1</v>
          </cell>
          <cell r="BF42">
            <v>0</v>
          </cell>
          <cell r="BG42">
            <v>0</v>
          </cell>
          <cell r="BH42">
            <v>0</v>
          </cell>
        </row>
        <row r="43">
          <cell r="A43" t="str">
            <v>Berton</v>
          </cell>
          <cell r="B43">
            <v>4</v>
          </cell>
          <cell r="C43">
            <v>0</v>
          </cell>
          <cell r="D43">
            <v>0</v>
          </cell>
          <cell r="E43">
            <v>7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 t="str">
            <v>F1</v>
          </cell>
          <cell r="AF43">
            <v>0</v>
          </cell>
          <cell r="AG43">
            <v>0</v>
          </cell>
          <cell r="AH43" t="str">
            <v>VT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1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1</v>
          </cell>
          <cell r="AY43">
            <v>1</v>
          </cell>
          <cell r="AZ43">
            <v>1</v>
          </cell>
          <cell r="BB43">
            <v>1</v>
          </cell>
          <cell r="BC43">
            <v>0</v>
          </cell>
          <cell r="BD43">
            <v>1</v>
          </cell>
          <cell r="BF43">
            <v>0</v>
          </cell>
          <cell r="BG43">
            <v>0</v>
          </cell>
          <cell r="BH43">
            <v>0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F44">
            <v>0</v>
          </cell>
          <cell r="BG44">
            <v>0</v>
          </cell>
          <cell r="BH44">
            <v>0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F45">
            <v>0</v>
          </cell>
          <cell r="BG45">
            <v>0</v>
          </cell>
          <cell r="BH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F79">
            <v>0</v>
          </cell>
          <cell r="BG79">
            <v>0</v>
          </cell>
          <cell r="BH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</row>
      </sheetData>
      <sheetData sheetId="3">
        <row r="4">
          <cell r="A4" t="str">
            <v>NOMS</v>
          </cell>
          <cell r="B4" t="str">
            <v>Grp</v>
          </cell>
          <cell r="C4">
            <v>43136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43137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43138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43139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43140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43141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43142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 t="str">
            <v>TOTAL ASTREINTE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 t="str">
            <v>TOTAL GARDE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B4" t="str">
            <v>VTU</v>
          </cell>
          <cell r="BC4">
            <v>0</v>
          </cell>
          <cell r="BD4" t="str">
            <v>VSAV</v>
          </cell>
          <cell r="BE4">
            <v>0</v>
          </cell>
          <cell r="BF4" t="str">
            <v>Fourgon</v>
          </cell>
          <cell r="BG4">
            <v>0</v>
          </cell>
          <cell r="BI4" t="str">
            <v>BI</v>
          </cell>
          <cell r="BJ4">
            <v>0</v>
          </cell>
          <cell r="BK4">
            <v>0</v>
          </cell>
        </row>
        <row r="5">
          <cell r="A5">
            <v>0</v>
          </cell>
          <cell r="B5">
            <v>0</v>
          </cell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L5">
            <v>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Tot
dispo</v>
          </cell>
          <cell r="AS5">
            <v>0</v>
          </cell>
          <cell r="AT5" t="str">
            <v>16h00</v>
          </cell>
          <cell r="AU5">
            <v>0</v>
          </cell>
          <cell r="AV5">
            <v>0</v>
          </cell>
          <cell r="AW5" t="str">
            <v>19h30</v>
          </cell>
          <cell r="AX5">
            <v>0</v>
          </cell>
          <cell r="AY5">
            <v>0</v>
          </cell>
          <cell r="AZ5">
            <v>0</v>
          </cell>
          <cell r="BB5" t="str">
            <v>Sem en ciurs</v>
          </cell>
          <cell r="BC5" t="str">
            <v>Sem précedentes</v>
          </cell>
          <cell r="BD5" t="str">
            <v>Sem en ciurs</v>
          </cell>
          <cell r="BE5" t="str">
            <v>Sem précedentes</v>
          </cell>
          <cell r="BF5" t="str">
            <v>Sem en ciurs</v>
          </cell>
          <cell r="BG5" t="str">
            <v>Sem précedentes</v>
          </cell>
          <cell r="BI5" t="str">
            <v>MATIN</v>
          </cell>
          <cell r="BJ5">
            <v>0</v>
          </cell>
          <cell r="BK5" t="str">
            <v>Après-midi</v>
          </cell>
        </row>
        <row r="6">
          <cell r="A6">
            <v>0</v>
          </cell>
          <cell r="B6">
            <v>0</v>
          </cell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L6">
            <v>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R6">
            <v>0</v>
          </cell>
          <cell r="AS6">
            <v>0</v>
          </cell>
          <cell r="AT6" t="str">
            <v>VSAV</v>
          </cell>
          <cell r="AU6" t="str">
            <v>FPT</v>
          </cell>
          <cell r="AV6" t="str">
            <v>TOTAL</v>
          </cell>
          <cell r="AW6" t="str">
            <v>VSAV</v>
          </cell>
          <cell r="AX6" t="str">
            <v>FPT</v>
          </cell>
          <cell r="AY6" t="str">
            <v>TOTAL</v>
          </cell>
          <cell r="AZ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I6" t="str">
            <v>Tournée</v>
          </cell>
          <cell r="BJ6" t="str">
            <v>Renfort</v>
          </cell>
          <cell r="BK6" t="str">
            <v>Tournée</v>
          </cell>
        </row>
        <row r="7">
          <cell r="A7" t="str">
            <v>Gabelle</v>
          </cell>
          <cell r="B7">
            <v>1</v>
          </cell>
          <cell r="C7">
            <v>0</v>
          </cell>
          <cell r="D7">
            <v>0</v>
          </cell>
          <cell r="E7" t="str">
            <v>Oui</v>
          </cell>
          <cell r="F7" t="str">
            <v>Oui</v>
          </cell>
          <cell r="G7">
            <v>0</v>
          </cell>
          <cell r="H7">
            <v>0</v>
          </cell>
          <cell r="I7">
            <v>0</v>
          </cell>
          <cell r="J7" t="str">
            <v>Oui</v>
          </cell>
          <cell r="K7" t="str">
            <v>Oui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 t="str">
            <v>Oui</v>
          </cell>
          <cell r="U7" t="str">
            <v>Oui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 t="str">
            <v>Oui</v>
          </cell>
          <cell r="AJ7" t="str">
            <v>Oui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4</v>
          </cell>
          <cell r="AP7">
            <v>4</v>
          </cell>
          <cell r="AQ7">
            <v>0</v>
          </cell>
          <cell r="AR7">
            <v>8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1</v>
          </cell>
          <cell r="BD7">
            <v>0</v>
          </cell>
          <cell r="BE7">
            <v>2</v>
          </cell>
          <cell r="BF7">
            <v>0</v>
          </cell>
          <cell r="BG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A8" t="str">
            <v>Chambaudry</v>
          </cell>
          <cell r="B8">
            <v>3</v>
          </cell>
          <cell r="C8" t="str">
            <v>Oui</v>
          </cell>
          <cell r="D8" t="str">
            <v>Oui</v>
          </cell>
          <cell r="E8" t="str">
            <v>Oui</v>
          </cell>
          <cell r="F8" t="str">
            <v>Oui</v>
          </cell>
          <cell r="G8" t="str">
            <v>Oui</v>
          </cell>
          <cell r="H8" t="str">
            <v>Oui</v>
          </cell>
          <cell r="I8" t="str">
            <v>Oui</v>
          </cell>
          <cell r="J8" t="str">
            <v>Oui</v>
          </cell>
          <cell r="K8" t="str">
            <v>Oui</v>
          </cell>
          <cell r="L8" t="str">
            <v>Oui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 t="str">
            <v>Oui</v>
          </cell>
          <cell r="AD8" t="str">
            <v>Oui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 t="str">
            <v>Oui</v>
          </cell>
          <cell r="AJ8" t="str">
            <v>Oui</v>
          </cell>
          <cell r="AK8">
            <v>0</v>
          </cell>
          <cell r="AL8">
            <v>0</v>
          </cell>
          <cell r="AM8">
            <v>2</v>
          </cell>
          <cell r="AN8">
            <v>3</v>
          </cell>
          <cell r="AO8">
            <v>4</v>
          </cell>
          <cell r="AP8">
            <v>3</v>
          </cell>
          <cell r="AQ8">
            <v>2</v>
          </cell>
          <cell r="AR8">
            <v>14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B8">
            <v>0</v>
          </cell>
          <cell r="BC8">
            <v>7</v>
          </cell>
          <cell r="BD8">
            <v>0</v>
          </cell>
          <cell r="BE8">
            <v>1</v>
          </cell>
          <cell r="BF8">
            <v>0</v>
          </cell>
          <cell r="BG8">
            <v>0</v>
          </cell>
          <cell r="BI8">
            <v>0</v>
          </cell>
          <cell r="BJ8">
            <v>0</v>
          </cell>
          <cell r="BK8">
            <v>0</v>
          </cell>
        </row>
        <row r="9">
          <cell r="A9" t="str">
            <v>Huot</v>
          </cell>
          <cell r="B9">
            <v>4</v>
          </cell>
          <cell r="C9">
            <v>0</v>
          </cell>
          <cell r="D9">
            <v>0</v>
          </cell>
          <cell r="E9">
            <v>0</v>
          </cell>
          <cell r="F9" t="str">
            <v>Oui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 t="str">
            <v>Oui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 t="str">
            <v>Oui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3</v>
          </cell>
          <cell r="AQ9">
            <v>0</v>
          </cell>
          <cell r="AR9">
            <v>3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B9">
            <v>0</v>
          </cell>
          <cell r="BC9">
            <v>3</v>
          </cell>
          <cell r="BD9">
            <v>0</v>
          </cell>
          <cell r="BE9">
            <v>0</v>
          </cell>
          <cell r="BF9">
            <v>0</v>
          </cell>
          <cell r="BG9">
            <v>1</v>
          </cell>
          <cell r="BI9">
            <v>0</v>
          </cell>
          <cell r="BJ9">
            <v>0</v>
          </cell>
          <cell r="BK9">
            <v>0</v>
          </cell>
        </row>
        <row r="10">
          <cell r="A10" t="str">
            <v>Gendre</v>
          </cell>
          <cell r="B10">
            <v>3</v>
          </cell>
          <cell r="C10">
            <v>0</v>
          </cell>
          <cell r="D10">
            <v>0</v>
          </cell>
          <cell r="E10">
            <v>0</v>
          </cell>
          <cell r="F10" t="str">
            <v>Oui</v>
          </cell>
          <cell r="G10" t="str">
            <v>Oui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 t="str">
            <v>Oui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 t="str">
            <v>Oui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 t="str">
            <v>Oui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 t="str">
            <v>Oui</v>
          </cell>
          <cell r="AG10" t="str">
            <v>Oui</v>
          </cell>
          <cell r="AH10">
            <v>0</v>
          </cell>
          <cell r="AI10">
            <v>0</v>
          </cell>
          <cell r="AJ10" t="str">
            <v>Oui</v>
          </cell>
          <cell r="AK10">
            <v>0</v>
          </cell>
          <cell r="AL10">
            <v>0</v>
          </cell>
          <cell r="AM10">
            <v>1</v>
          </cell>
          <cell r="AN10">
            <v>0</v>
          </cell>
          <cell r="AO10">
            <v>0</v>
          </cell>
          <cell r="AP10">
            <v>2</v>
          </cell>
          <cell r="AQ10">
            <v>5</v>
          </cell>
          <cell r="AR10">
            <v>8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B10">
            <v>0</v>
          </cell>
          <cell r="BC10">
            <v>4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I10">
            <v>0</v>
          </cell>
          <cell r="BJ10">
            <v>0</v>
          </cell>
          <cell r="BK10">
            <v>0</v>
          </cell>
        </row>
        <row r="11">
          <cell r="A11" t="str">
            <v>Chanseaume</v>
          </cell>
          <cell r="B11">
            <v>2</v>
          </cell>
          <cell r="C11" t="str">
            <v>Non</v>
          </cell>
          <cell r="D11" t="str">
            <v>Non</v>
          </cell>
          <cell r="E11" t="str">
            <v>Non</v>
          </cell>
          <cell r="F11" t="str">
            <v>Oui</v>
          </cell>
          <cell r="G11" t="str">
            <v>Non</v>
          </cell>
          <cell r="H11" t="str">
            <v>Non</v>
          </cell>
          <cell r="I11" t="str">
            <v>Non</v>
          </cell>
          <cell r="J11" t="str">
            <v>Non</v>
          </cell>
          <cell r="K11" t="str">
            <v>Non</v>
          </cell>
          <cell r="L11" t="str">
            <v>Non</v>
          </cell>
          <cell r="M11" t="str">
            <v>Non</v>
          </cell>
          <cell r="N11" t="str">
            <v>Non</v>
          </cell>
          <cell r="O11" t="str">
            <v>Non</v>
          </cell>
          <cell r="P11" t="str">
            <v>Oui</v>
          </cell>
          <cell r="Q11" t="str">
            <v>Non</v>
          </cell>
          <cell r="R11" t="str">
            <v>Non</v>
          </cell>
          <cell r="S11" t="str">
            <v>Non</v>
          </cell>
          <cell r="T11" t="str">
            <v>Non</v>
          </cell>
          <cell r="U11" t="str">
            <v>Oui</v>
          </cell>
          <cell r="V11" t="str">
            <v>Non</v>
          </cell>
          <cell r="W11" t="str">
            <v>Non</v>
          </cell>
          <cell r="X11" t="str">
            <v>Non</v>
          </cell>
          <cell r="Y11" t="str">
            <v>Non</v>
          </cell>
          <cell r="Z11" t="str">
            <v>Oui</v>
          </cell>
          <cell r="AA11" t="str">
            <v>Non</v>
          </cell>
          <cell r="AB11" t="str">
            <v>Non</v>
          </cell>
          <cell r="AC11" t="str">
            <v>Non</v>
          </cell>
          <cell r="AD11" t="str">
            <v>Non</v>
          </cell>
          <cell r="AE11" t="str">
            <v>Non</v>
          </cell>
          <cell r="AF11" t="str">
            <v>Non</v>
          </cell>
          <cell r="AG11" t="str">
            <v>Non</v>
          </cell>
          <cell r="AH11" t="str">
            <v>Non</v>
          </cell>
          <cell r="AI11" t="str">
            <v>Non</v>
          </cell>
          <cell r="AJ11" t="str">
            <v>Non</v>
          </cell>
          <cell r="AK11" t="str">
            <v>Non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4</v>
          </cell>
          <cell r="AQ11">
            <v>0</v>
          </cell>
          <cell r="AR11">
            <v>4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B11">
            <v>0</v>
          </cell>
          <cell r="BC11">
            <v>3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I11">
            <v>0</v>
          </cell>
          <cell r="BJ11">
            <v>0</v>
          </cell>
          <cell r="BK11">
            <v>0</v>
          </cell>
        </row>
        <row r="12">
          <cell r="A12" t="str">
            <v>Lesbegueries</v>
          </cell>
          <cell r="B12">
            <v>4</v>
          </cell>
          <cell r="C12">
            <v>0</v>
          </cell>
          <cell r="D12" t="str">
            <v>Oui</v>
          </cell>
          <cell r="E12" t="str">
            <v>Oui</v>
          </cell>
          <cell r="F12" t="str">
            <v>Oui</v>
          </cell>
          <cell r="G12" t="str">
            <v>Oui</v>
          </cell>
          <cell r="H12">
            <v>0</v>
          </cell>
          <cell r="I12" t="str">
            <v>Oui</v>
          </cell>
          <cell r="J12" t="str">
            <v>Oui</v>
          </cell>
          <cell r="K12" t="str">
            <v>Oui</v>
          </cell>
          <cell r="L12" t="str">
            <v>Oui</v>
          </cell>
          <cell r="M12">
            <v>0</v>
          </cell>
          <cell r="N12" t="str">
            <v>Oui</v>
          </cell>
          <cell r="O12" t="str">
            <v>Oui</v>
          </cell>
          <cell r="P12" t="str">
            <v>Oui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3</v>
          </cell>
          <cell r="AO12">
            <v>3</v>
          </cell>
          <cell r="AP12">
            <v>3</v>
          </cell>
          <cell r="AQ12">
            <v>2</v>
          </cell>
          <cell r="AR12">
            <v>11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B12">
            <v>0</v>
          </cell>
          <cell r="BC12">
            <v>1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I12">
            <v>0</v>
          </cell>
          <cell r="BJ12">
            <v>0</v>
          </cell>
          <cell r="BK12">
            <v>0</v>
          </cell>
        </row>
        <row r="13">
          <cell r="A13" t="str">
            <v>Antoniotti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 t="str">
            <v>Oui</v>
          </cell>
          <cell r="J13" t="str">
            <v>Oui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 t="str">
            <v>Oui</v>
          </cell>
          <cell r="AE13" t="str">
            <v>Oui</v>
          </cell>
          <cell r="AF13">
            <v>0</v>
          </cell>
          <cell r="AG13">
            <v>0</v>
          </cell>
          <cell r="AH13">
            <v>0</v>
          </cell>
          <cell r="AI13" t="str">
            <v>Oui</v>
          </cell>
          <cell r="AJ13" t="str">
            <v>Oui</v>
          </cell>
          <cell r="AK13">
            <v>0</v>
          </cell>
          <cell r="AL13">
            <v>0</v>
          </cell>
          <cell r="AM13">
            <v>0</v>
          </cell>
          <cell r="AN13">
            <v>1</v>
          </cell>
          <cell r="AO13">
            <v>3</v>
          </cell>
          <cell r="AP13">
            <v>2</v>
          </cell>
          <cell r="AQ13">
            <v>0</v>
          </cell>
          <cell r="AR13">
            <v>6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4</v>
          </cell>
          <cell r="BD13">
            <v>0</v>
          </cell>
          <cell r="BE13">
            <v>1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</row>
        <row r="14">
          <cell r="A14" t="str">
            <v>Yelles</v>
          </cell>
          <cell r="B14">
            <v>4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 t="str">
            <v>Oui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 t="str">
            <v>Oui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2</v>
          </cell>
          <cell r="AQ14">
            <v>0</v>
          </cell>
          <cell r="AR14">
            <v>2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B14">
            <v>0</v>
          </cell>
          <cell r="BC14">
            <v>1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I14">
            <v>0</v>
          </cell>
          <cell r="BJ14">
            <v>0</v>
          </cell>
          <cell r="BK14">
            <v>0</v>
          </cell>
        </row>
        <row r="15">
          <cell r="A15" t="str">
            <v>Duhamel</v>
          </cell>
          <cell r="B15">
            <v>1</v>
          </cell>
          <cell r="C15" t="str">
            <v>Non</v>
          </cell>
          <cell r="D15" t="str">
            <v>Non</v>
          </cell>
          <cell r="E15" t="str">
            <v>Non</v>
          </cell>
          <cell r="F15" t="str">
            <v>Non</v>
          </cell>
          <cell r="G15" t="str">
            <v>Non</v>
          </cell>
          <cell r="H15" t="str">
            <v>Non</v>
          </cell>
          <cell r="I15" t="str">
            <v>Non</v>
          </cell>
          <cell r="J15" t="str">
            <v>Oui</v>
          </cell>
          <cell r="K15" t="str">
            <v>Oui</v>
          </cell>
          <cell r="L15" t="str">
            <v>Non</v>
          </cell>
          <cell r="M15" t="str">
            <v>Non</v>
          </cell>
          <cell r="N15" t="str">
            <v>Non</v>
          </cell>
          <cell r="O15" t="str">
            <v>Non</v>
          </cell>
          <cell r="P15" t="str">
            <v>Non</v>
          </cell>
          <cell r="Q15" t="str">
            <v>Non</v>
          </cell>
          <cell r="R15" t="str">
            <v>Non</v>
          </cell>
          <cell r="S15" t="str">
            <v>Non</v>
          </cell>
          <cell r="T15" t="str">
            <v>Oui</v>
          </cell>
          <cell r="U15" t="str">
            <v>Oui</v>
          </cell>
          <cell r="V15" t="str">
            <v>Non</v>
          </cell>
          <cell r="W15" t="str">
            <v>Non</v>
          </cell>
          <cell r="X15" t="str">
            <v>Non</v>
          </cell>
          <cell r="Y15" t="str">
            <v>Non</v>
          </cell>
          <cell r="Z15" t="str">
            <v>Non</v>
          </cell>
          <cell r="AA15" t="str">
            <v>Non</v>
          </cell>
          <cell r="AB15" t="str">
            <v>Non</v>
          </cell>
          <cell r="AC15" t="str">
            <v>Non</v>
          </cell>
          <cell r="AD15" t="str">
            <v>Oui</v>
          </cell>
          <cell r="AE15" t="str">
            <v>Non</v>
          </cell>
          <cell r="AF15" t="str">
            <v>Non</v>
          </cell>
          <cell r="AG15" t="str">
            <v>Non</v>
          </cell>
          <cell r="AH15" t="str">
            <v>Non</v>
          </cell>
          <cell r="AI15" t="str">
            <v>Non</v>
          </cell>
          <cell r="AJ15" t="str">
            <v>Non</v>
          </cell>
          <cell r="AK15" t="str">
            <v>Non</v>
          </cell>
          <cell r="AL15">
            <v>0</v>
          </cell>
          <cell r="AM15">
            <v>0</v>
          </cell>
          <cell r="AN15">
            <v>0</v>
          </cell>
          <cell r="AO15">
            <v>3</v>
          </cell>
          <cell r="AP15">
            <v>2</v>
          </cell>
          <cell r="AQ15">
            <v>0</v>
          </cell>
          <cell r="AR15">
            <v>5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B15">
            <v>0</v>
          </cell>
          <cell r="BC15">
            <v>2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I15">
            <v>0</v>
          </cell>
          <cell r="BJ15">
            <v>0</v>
          </cell>
          <cell r="BK15">
            <v>0</v>
          </cell>
        </row>
        <row r="16">
          <cell r="A16" t="str">
            <v>Azehaf</v>
          </cell>
          <cell r="B16">
            <v>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 t="str">
            <v>Oui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 t="str">
            <v>Oui</v>
          </cell>
          <cell r="AE16" t="str">
            <v>Oui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1</v>
          </cell>
          <cell r="AP16">
            <v>2</v>
          </cell>
          <cell r="AQ16">
            <v>0</v>
          </cell>
          <cell r="AR16">
            <v>3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B16">
            <v>0</v>
          </cell>
          <cell r="BC16">
            <v>1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I16">
            <v>0</v>
          </cell>
          <cell r="BJ16">
            <v>0</v>
          </cell>
          <cell r="BK16">
            <v>0</v>
          </cell>
        </row>
        <row r="17">
          <cell r="A17" t="str">
            <v>Tohno.M</v>
          </cell>
          <cell r="B17">
            <v>4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Oui</v>
          </cell>
          <cell r="AA17" t="str">
            <v>Oui</v>
          </cell>
          <cell r="AB17">
            <v>0</v>
          </cell>
          <cell r="AC17" t="str">
            <v>Oui</v>
          </cell>
          <cell r="AD17" t="str">
            <v>Oui</v>
          </cell>
          <cell r="AE17" t="str">
            <v>Oui</v>
          </cell>
          <cell r="AF17" t="str">
            <v>Oui</v>
          </cell>
          <cell r="AG17" t="str">
            <v>Oui</v>
          </cell>
          <cell r="AH17" t="str">
            <v>Oui</v>
          </cell>
          <cell r="AI17" t="str">
            <v>Oui</v>
          </cell>
          <cell r="AJ17">
            <v>0</v>
          </cell>
          <cell r="AK17">
            <v>0</v>
          </cell>
          <cell r="AL17">
            <v>0</v>
          </cell>
          <cell r="AM17">
            <v>1</v>
          </cell>
          <cell r="AN17">
            <v>2</v>
          </cell>
          <cell r="AO17">
            <v>2</v>
          </cell>
          <cell r="AP17">
            <v>2</v>
          </cell>
          <cell r="AQ17">
            <v>2</v>
          </cell>
          <cell r="AR17">
            <v>9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B17">
            <v>0</v>
          </cell>
          <cell r="BC17">
            <v>3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I17">
            <v>0</v>
          </cell>
          <cell r="BJ17">
            <v>0</v>
          </cell>
          <cell r="BK17">
            <v>0</v>
          </cell>
        </row>
        <row r="18">
          <cell r="A18" t="str">
            <v>Sangaré</v>
          </cell>
          <cell r="B18">
            <v>2</v>
          </cell>
          <cell r="C18" t="str">
            <v>Oui</v>
          </cell>
          <cell r="D18" t="str">
            <v>Oui</v>
          </cell>
          <cell r="E18" t="str">
            <v>Oui</v>
          </cell>
          <cell r="F18" t="str">
            <v>Oui</v>
          </cell>
          <cell r="G18" t="str">
            <v>Oui</v>
          </cell>
          <cell r="H18" t="str">
            <v>Oui</v>
          </cell>
          <cell r="I18" t="str">
            <v>Oui</v>
          </cell>
          <cell r="J18" t="str">
            <v>Oui</v>
          </cell>
          <cell r="K18">
            <v>0</v>
          </cell>
          <cell r="L18">
            <v>0</v>
          </cell>
          <cell r="M18" t="str">
            <v>Oui</v>
          </cell>
          <cell r="N18" t="str">
            <v>Oui</v>
          </cell>
          <cell r="O18" t="str">
            <v>Oui</v>
          </cell>
          <cell r="P18">
            <v>0</v>
          </cell>
          <cell r="Q18" t="str">
            <v>Oui</v>
          </cell>
          <cell r="R18" t="str">
            <v>Oui</v>
          </cell>
          <cell r="S18" t="str">
            <v>Oui</v>
          </cell>
          <cell r="T18" t="str">
            <v>Oui</v>
          </cell>
          <cell r="U18">
            <v>0</v>
          </cell>
          <cell r="V18">
            <v>0</v>
          </cell>
          <cell r="W18" t="str">
            <v>Oui</v>
          </cell>
          <cell r="X18" t="str">
            <v>Oui</v>
          </cell>
          <cell r="Y18" t="str">
            <v>Oui</v>
          </cell>
          <cell r="Z18">
            <v>0</v>
          </cell>
          <cell r="AA18" t="str">
            <v>Oui</v>
          </cell>
          <cell r="AB18" t="str">
            <v>Oui</v>
          </cell>
          <cell r="AC18" t="str">
            <v>Oui</v>
          </cell>
          <cell r="AD18" t="str">
            <v>Oui</v>
          </cell>
          <cell r="AE18">
            <v>0</v>
          </cell>
          <cell r="AF18" t="str">
            <v>Oui</v>
          </cell>
          <cell r="AG18" t="str">
            <v>Oui</v>
          </cell>
          <cell r="AH18" t="str">
            <v>Oui</v>
          </cell>
          <cell r="AI18" t="str">
            <v>Oui</v>
          </cell>
          <cell r="AJ18" t="str">
            <v>Oui</v>
          </cell>
          <cell r="AK18" t="str">
            <v>Oui</v>
          </cell>
          <cell r="AL18">
            <v>0</v>
          </cell>
          <cell r="AM18">
            <v>7</v>
          </cell>
          <cell r="AN18">
            <v>7</v>
          </cell>
          <cell r="AO18">
            <v>7</v>
          </cell>
          <cell r="AP18">
            <v>2</v>
          </cell>
          <cell r="AQ18">
            <v>5</v>
          </cell>
          <cell r="AR18">
            <v>28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B18">
            <v>0</v>
          </cell>
          <cell r="BC18">
            <v>20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I18">
            <v>0</v>
          </cell>
          <cell r="BJ18">
            <v>0</v>
          </cell>
          <cell r="BK18">
            <v>0</v>
          </cell>
        </row>
        <row r="19">
          <cell r="A19" t="str">
            <v>Xu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 t="str">
            <v>Oui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 t="str">
            <v>Oui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2</v>
          </cell>
          <cell r="AP19">
            <v>0</v>
          </cell>
          <cell r="AQ19">
            <v>0</v>
          </cell>
          <cell r="AR19">
            <v>2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3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</row>
        <row r="20">
          <cell r="A20" t="str">
            <v>Desmond</v>
          </cell>
          <cell r="B20">
            <v>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>Oui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Non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B20">
            <v>0</v>
          </cell>
          <cell r="BC20">
            <v>1</v>
          </cell>
          <cell r="BD20">
            <v>0</v>
          </cell>
          <cell r="BE20">
            <v>1</v>
          </cell>
          <cell r="BF20">
            <v>0</v>
          </cell>
          <cell r="BG20">
            <v>0</v>
          </cell>
          <cell r="BI20">
            <v>0</v>
          </cell>
          <cell r="BJ20">
            <v>0</v>
          </cell>
          <cell r="BK20">
            <v>0</v>
          </cell>
        </row>
        <row r="21">
          <cell r="A21" t="str">
            <v>Delort</v>
          </cell>
          <cell r="B21">
            <v>2</v>
          </cell>
          <cell r="C21">
            <v>0</v>
          </cell>
          <cell r="D21" t="str">
            <v>Oui</v>
          </cell>
          <cell r="E21" t="str">
            <v>Oui</v>
          </cell>
          <cell r="F21" t="str">
            <v>Oui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 t="str">
            <v>Oui</v>
          </cell>
          <cell r="Y21" t="str">
            <v>Oui</v>
          </cell>
          <cell r="Z21" t="str">
            <v>Oui</v>
          </cell>
          <cell r="AA21">
            <v>0</v>
          </cell>
          <cell r="AB21">
            <v>0</v>
          </cell>
          <cell r="AC21" t="str">
            <v>Oui</v>
          </cell>
          <cell r="AD21" t="str">
            <v>Oui</v>
          </cell>
          <cell r="AE21" t="str">
            <v>Oui</v>
          </cell>
          <cell r="AF21">
            <v>0</v>
          </cell>
          <cell r="AG21">
            <v>0</v>
          </cell>
          <cell r="AH21" t="str">
            <v>Oui</v>
          </cell>
          <cell r="AI21" t="str">
            <v>Oui</v>
          </cell>
          <cell r="AJ21" t="str">
            <v>Oui</v>
          </cell>
          <cell r="AK21">
            <v>0</v>
          </cell>
          <cell r="AL21">
            <v>0</v>
          </cell>
          <cell r="AM21">
            <v>0</v>
          </cell>
          <cell r="AN21">
            <v>4</v>
          </cell>
          <cell r="AO21">
            <v>4</v>
          </cell>
          <cell r="AP21">
            <v>4</v>
          </cell>
          <cell r="AQ21">
            <v>0</v>
          </cell>
          <cell r="AR21">
            <v>12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B21">
            <v>0</v>
          </cell>
          <cell r="BC21">
            <v>3</v>
          </cell>
          <cell r="BD21">
            <v>0</v>
          </cell>
          <cell r="BE21">
            <v>1</v>
          </cell>
          <cell r="BF21">
            <v>0</v>
          </cell>
          <cell r="BG21">
            <v>0</v>
          </cell>
          <cell r="BI21">
            <v>0</v>
          </cell>
          <cell r="BJ21">
            <v>0</v>
          </cell>
          <cell r="BK21">
            <v>0</v>
          </cell>
        </row>
        <row r="22">
          <cell r="A22" t="str">
            <v>Marie</v>
          </cell>
          <cell r="B22">
            <v>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 t="str">
            <v>Oui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1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1</v>
          </cell>
          <cell r="BF22">
            <v>0</v>
          </cell>
          <cell r="BG22">
            <v>0</v>
          </cell>
          <cell r="BI22">
            <v>0</v>
          </cell>
          <cell r="BJ22">
            <v>0</v>
          </cell>
          <cell r="BK22">
            <v>0</v>
          </cell>
        </row>
        <row r="23">
          <cell r="A23" t="str">
            <v>Baret</v>
          </cell>
          <cell r="B23">
            <v>3</v>
          </cell>
          <cell r="C23" t="str">
            <v>Oui</v>
          </cell>
          <cell r="D23" t="str">
            <v>Oui</v>
          </cell>
          <cell r="E23" t="str">
            <v>Non</v>
          </cell>
          <cell r="F23" t="str">
            <v>Non</v>
          </cell>
          <cell r="G23" t="str">
            <v>Non</v>
          </cell>
          <cell r="H23" t="str">
            <v>Oui</v>
          </cell>
          <cell r="I23" t="str">
            <v>Oui</v>
          </cell>
          <cell r="J23" t="str">
            <v>Non</v>
          </cell>
          <cell r="K23" t="str">
            <v>Non</v>
          </cell>
          <cell r="L23" t="str">
            <v>Non</v>
          </cell>
          <cell r="M23">
            <v>0</v>
          </cell>
          <cell r="N23">
            <v>0</v>
          </cell>
          <cell r="O23">
            <v>0</v>
          </cell>
          <cell r="P23" t="str">
            <v>Oui</v>
          </cell>
          <cell r="Q23" t="str">
            <v>Oui</v>
          </cell>
          <cell r="R23" t="str">
            <v>Oui</v>
          </cell>
          <cell r="S23" t="str">
            <v>Oui</v>
          </cell>
          <cell r="T23" t="str">
            <v>Oui</v>
          </cell>
          <cell r="U23" t="str">
            <v>Oui</v>
          </cell>
          <cell r="V23" t="str">
            <v>Oui</v>
          </cell>
          <cell r="W23" t="str">
            <v>Oui</v>
          </cell>
          <cell r="X23">
            <v>0</v>
          </cell>
          <cell r="Y23">
            <v>0</v>
          </cell>
          <cell r="Z23" t="str">
            <v>Non</v>
          </cell>
          <cell r="AA23" t="str">
            <v>Oui</v>
          </cell>
          <cell r="AB23" t="str">
            <v>Non</v>
          </cell>
          <cell r="AC23">
            <v>0</v>
          </cell>
          <cell r="AD23">
            <v>0</v>
          </cell>
          <cell r="AE23" t="str">
            <v>Non</v>
          </cell>
          <cell r="AF23" t="str">
            <v>Non</v>
          </cell>
          <cell r="AG23">
            <v>0</v>
          </cell>
          <cell r="AH23">
            <v>0</v>
          </cell>
          <cell r="AI23">
            <v>0</v>
          </cell>
          <cell r="AJ23" t="str">
            <v>Non</v>
          </cell>
          <cell r="AK23" t="str">
            <v>Oui</v>
          </cell>
          <cell r="AL23">
            <v>0</v>
          </cell>
          <cell r="AM23">
            <v>4</v>
          </cell>
          <cell r="AN23">
            <v>3</v>
          </cell>
          <cell r="AO23">
            <v>1</v>
          </cell>
          <cell r="AP23">
            <v>2</v>
          </cell>
          <cell r="AQ23">
            <v>4</v>
          </cell>
          <cell r="AR23">
            <v>14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B23">
            <v>0</v>
          </cell>
          <cell r="BC23">
            <v>13</v>
          </cell>
          <cell r="BD23">
            <v>0</v>
          </cell>
          <cell r="BE23">
            <v>2</v>
          </cell>
          <cell r="BF23">
            <v>0</v>
          </cell>
          <cell r="BG23">
            <v>0</v>
          </cell>
          <cell r="BI23">
            <v>0</v>
          </cell>
          <cell r="BJ23">
            <v>0</v>
          </cell>
          <cell r="BK23">
            <v>0</v>
          </cell>
        </row>
        <row r="24">
          <cell r="A24" t="str">
            <v>Lanseau</v>
          </cell>
          <cell r="B24">
            <v>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 t="str">
            <v>Oui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 t="str">
            <v>Non</v>
          </cell>
          <cell r="AA24">
            <v>0</v>
          </cell>
          <cell r="AB24">
            <v>0</v>
          </cell>
          <cell r="AC24" t="str">
            <v>Oui</v>
          </cell>
          <cell r="AD24" t="str">
            <v>Oui</v>
          </cell>
          <cell r="AE24">
            <v>0</v>
          </cell>
          <cell r="AF24">
            <v>0</v>
          </cell>
          <cell r="AG24">
            <v>0</v>
          </cell>
          <cell r="AH24" t="str">
            <v>Oui</v>
          </cell>
          <cell r="AI24" t="str">
            <v>Oui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2</v>
          </cell>
          <cell r="AO24">
            <v>2</v>
          </cell>
          <cell r="AP24">
            <v>1</v>
          </cell>
          <cell r="AQ24">
            <v>0</v>
          </cell>
          <cell r="AR24">
            <v>5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3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</row>
        <row r="25">
          <cell r="A25" t="str">
            <v>Sowu</v>
          </cell>
          <cell r="B25">
            <v>2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 t="str">
            <v>Oui</v>
          </cell>
          <cell r="AI25" t="str">
            <v>Oui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1</v>
          </cell>
          <cell r="AO25">
            <v>1</v>
          </cell>
          <cell r="AP25">
            <v>0</v>
          </cell>
          <cell r="AQ25">
            <v>0</v>
          </cell>
          <cell r="AR25">
            <v>2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I25">
            <v>0</v>
          </cell>
          <cell r="BJ25">
            <v>0</v>
          </cell>
          <cell r="BK25">
            <v>0</v>
          </cell>
        </row>
        <row r="26">
          <cell r="A26" t="str">
            <v>Monjol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 t="str">
            <v>Oui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B26">
            <v>0</v>
          </cell>
          <cell r="BC26">
            <v>1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I26">
            <v>0</v>
          </cell>
          <cell r="BJ26">
            <v>0</v>
          </cell>
          <cell r="BK26">
            <v>0</v>
          </cell>
        </row>
        <row r="27">
          <cell r="A27" t="str">
            <v>Parszevski</v>
          </cell>
          <cell r="B27">
            <v>3</v>
          </cell>
          <cell r="C27">
            <v>0</v>
          </cell>
          <cell r="D27" t="str">
            <v>Oui</v>
          </cell>
          <cell r="E27" t="str">
            <v>Oui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1</v>
          </cell>
          <cell r="AO27">
            <v>1</v>
          </cell>
          <cell r="AP27">
            <v>0</v>
          </cell>
          <cell r="AQ27">
            <v>0</v>
          </cell>
          <cell r="AR27">
            <v>2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B27">
            <v>0</v>
          </cell>
          <cell r="BC27">
            <v>1</v>
          </cell>
          <cell r="BD27">
            <v>0</v>
          </cell>
          <cell r="BE27">
            <v>1</v>
          </cell>
          <cell r="BF27">
            <v>0</v>
          </cell>
          <cell r="BG27">
            <v>0</v>
          </cell>
          <cell r="BI27">
            <v>0</v>
          </cell>
          <cell r="BJ27">
            <v>0</v>
          </cell>
          <cell r="BK27">
            <v>0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I29">
            <v>0</v>
          </cell>
          <cell r="BJ29">
            <v>0</v>
          </cell>
          <cell r="BK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I30">
            <v>0</v>
          </cell>
          <cell r="BJ30">
            <v>0</v>
          </cell>
          <cell r="BK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I32">
            <v>0</v>
          </cell>
          <cell r="BJ32">
            <v>0</v>
          </cell>
          <cell r="BK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I33">
            <v>0</v>
          </cell>
          <cell r="BJ33">
            <v>0</v>
          </cell>
          <cell r="BK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I35">
            <v>0</v>
          </cell>
          <cell r="BJ35">
            <v>0</v>
          </cell>
          <cell r="BK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I36">
            <v>0</v>
          </cell>
          <cell r="BJ36">
            <v>0</v>
          </cell>
          <cell r="BK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I38">
            <v>0</v>
          </cell>
          <cell r="BJ38">
            <v>0</v>
          </cell>
          <cell r="BK38">
            <v>0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I40">
            <v>0</v>
          </cell>
          <cell r="BJ40">
            <v>0</v>
          </cell>
          <cell r="BK40">
            <v>0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I42">
            <v>0</v>
          </cell>
          <cell r="BJ42">
            <v>0</v>
          </cell>
          <cell r="BK42">
            <v>0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I43">
            <v>0</v>
          </cell>
          <cell r="BJ43">
            <v>0</v>
          </cell>
          <cell r="BK43">
            <v>0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I44">
            <v>0</v>
          </cell>
          <cell r="BJ44">
            <v>0</v>
          </cell>
          <cell r="BK44">
            <v>0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I45">
            <v>0</v>
          </cell>
          <cell r="BJ45">
            <v>0</v>
          </cell>
          <cell r="BK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I79">
            <v>0</v>
          </cell>
          <cell r="BJ79">
            <v>0</v>
          </cell>
          <cell r="BK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</row>
        <row r="100">
          <cell r="E100">
            <v>3</v>
          </cell>
          <cell r="F100">
            <v>5</v>
          </cell>
          <cell r="J100">
            <v>3</v>
          </cell>
          <cell r="K100">
            <v>5</v>
          </cell>
          <cell r="O100">
            <v>3</v>
          </cell>
          <cell r="P100">
            <v>5</v>
          </cell>
          <cell r="T100">
            <v>3</v>
          </cell>
          <cell r="U100">
            <v>5</v>
          </cell>
          <cell r="Y100">
            <v>3</v>
          </cell>
          <cell r="Z100">
            <v>5</v>
          </cell>
          <cell r="AD100">
            <v>3</v>
          </cell>
          <cell r="AE100">
            <v>5</v>
          </cell>
          <cell r="AI100">
            <v>3</v>
          </cell>
          <cell r="AJ100">
            <v>5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/>
  <dimension ref="A2:D45"/>
  <sheetViews>
    <sheetView workbookViewId="0">
      <selection activeCell="G47" sqref="G47"/>
    </sheetView>
  </sheetViews>
  <sheetFormatPr baseColWidth="10" defaultRowHeight="15" x14ac:dyDescent="0.25"/>
  <cols>
    <col min="1" max="2" width="14.28515625" customWidth="1"/>
    <col min="3" max="3" width="10.85546875" style="2"/>
    <col min="4" max="4" width="16.7109375" style="2" bestFit="1" customWidth="1"/>
  </cols>
  <sheetData>
    <row r="2" spans="1:4" x14ac:dyDescent="0.25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5">
      <c r="A3" t="s">
        <v>7</v>
      </c>
      <c r="B3" t="s">
        <v>41</v>
      </c>
      <c r="C3" s="2">
        <v>1</v>
      </c>
      <c r="D3" s="2" t="s">
        <v>42</v>
      </c>
    </row>
    <row r="4" spans="1:4" x14ac:dyDescent="0.25">
      <c r="A4" t="s">
        <v>8</v>
      </c>
      <c r="C4" s="2">
        <v>2</v>
      </c>
      <c r="D4" s="2" t="s">
        <v>43</v>
      </c>
    </row>
    <row r="5" spans="1:4" x14ac:dyDescent="0.25">
      <c r="A5" t="s">
        <v>40</v>
      </c>
      <c r="C5" s="2">
        <v>3</v>
      </c>
      <c r="D5" s="2" t="s">
        <v>43</v>
      </c>
    </row>
    <row r="6" spans="1:4" x14ac:dyDescent="0.25">
      <c r="A6" t="s">
        <v>26</v>
      </c>
      <c r="C6" s="2">
        <v>4</v>
      </c>
      <c r="D6" s="2" t="s">
        <v>43</v>
      </c>
    </row>
    <row r="7" spans="1:4" x14ac:dyDescent="0.25">
      <c r="A7" t="s">
        <v>21</v>
      </c>
      <c r="C7" s="2">
        <v>1</v>
      </c>
      <c r="D7" s="2" t="s">
        <v>43</v>
      </c>
    </row>
    <row r="8" spans="1:4" x14ac:dyDescent="0.25">
      <c r="A8" t="s">
        <v>15</v>
      </c>
      <c r="C8" s="2">
        <v>2</v>
      </c>
      <c r="D8" s="2" t="s">
        <v>43</v>
      </c>
    </row>
    <row r="9" spans="1:4" x14ac:dyDescent="0.25">
      <c r="A9" t="s">
        <v>34</v>
      </c>
      <c r="C9" s="2">
        <v>3</v>
      </c>
      <c r="D9" s="2" t="s">
        <v>43</v>
      </c>
    </row>
    <row r="10" spans="1:4" x14ac:dyDescent="0.25">
      <c r="A10" t="s">
        <v>28</v>
      </c>
      <c r="C10" s="2">
        <v>4</v>
      </c>
      <c r="D10" s="2" t="s">
        <v>43</v>
      </c>
    </row>
    <row r="11" spans="1:4" x14ac:dyDescent="0.25">
      <c r="A11" t="s">
        <v>24</v>
      </c>
      <c r="C11" s="2">
        <v>1</v>
      </c>
      <c r="D11" s="2" t="s">
        <v>43</v>
      </c>
    </row>
    <row r="12" spans="1:4" x14ac:dyDescent="0.25">
      <c r="A12" t="s">
        <v>37</v>
      </c>
      <c r="C12" s="2">
        <v>2</v>
      </c>
      <c r="D12" s="2" t="s">
        <v>43</v>
      </c>
    </row>
    <row r="13" spans="1:4" x14ac:dyDescent="0.25">
      <c r="A13" t="s">
        <v>27</v>
      </c>
      <c r="C13" s="2">
        <v>3</v>
      </c>
      <c r="D13" s="2" t="s">
        <v>43</v>
      </c>
    </row>
    <row r="14" spans="1:4" x14ac:dyDescent="0.25">
      <c r="A14" t="s">
        <v>19</v>
      </c>
      <c r="C14" s="2">
        <v>4</v>
      </c>
      <c r="D14" s="2" t="s">
        <v>43</v>
      </c>
    </row>
    <row r="15" spans="1:4" x14ac:dyDescent="0.25">
      <c r="A15" t="s">
        <v>36</v>
      </c>
      <c r="C15" s="2">
        <v>1</v>
      </c>
      <c r="D15" s="2" t="s">
        <v>43</v>
      </c>
    </row>
    <row r="16" spans="1:4" x14ac:dyDescent="0.25">
      <c r="A16" t="s">
        <v>5</v>
      </c>
      <c r="C16" s="2">
        <v>2</v>
      </c>
      <c r="D16" s="2" t="s">
        <v>43</v>
      </c>
    </row>
    <row r="17" spans="1:4" x14ac:dyDescent="0.25">
      <c r="A17" t="s">
        <v>33</v>
      </c>
      <c r="C17" s="2">
        <v>3</v>
      </c>
      <c r="D17" s="2" t="s">
        <v>43</v>
      </c>
    </row>
    <row r="18" spans="1:4" x14ac:dyDescent="0.25">
      <c r="A18" t="s">
        <v>12</v>
      </c>
      <c r="C18" s="2">
        <v>4</v>
      </c>
      <c r="D18" s="2" t="s">
        <v>43</v>
      </c>
    </row>
    <row r="19" spans="1:4" x14ac:dyDescent="0.25">
      <c r="A19" t="s">
        <v>18</v>
      </c>
      <c r="C19" s="2">
        <v>1</v>
      </c>
      <c r="D19" s="2" t="s">
        <v>43</v>
      </c>
    </row>
    <row r="20" spans="1:4" x14ac:dyDescent="0.25">
      <c r="A20" t="s">
        <v>4</v>
      </c>
      <c r="C20" s="2">
        <v>2</v>
      </c>
      <c r="D20" s="2" t="s">
        <v>43</v>
      </c>
    </row>
    <row r="21" spans="1:4" x14ac:dyDescent="0.25">
      <c r="A21" t="s">
        <v>13</v>
      </c>
      <c r="C21" s="2">
        <v>3</v>
      </c>
      <c r="D21" s="2" t="s">
        <v>43</v>
      </c>
    </row>
    <row r="22" spans="1:4" x14ac:dyDescent="0.25">
      <c r="A22" t="s">
        <v>29</v>
      </c>
      <c r="C22" s="2">
        <v>4</v>
      </c>
      <c r="D22" s="2" t="s">
        <v>43</v>
      </c>
    </row>
    <row r="23" spans="1:4" x14ac:dyDescent="0.25">
      <c r="A23" t="s">
        <v>39</v>
      </c>
      <c r="C23" s="2">
        <v>1</v>
      </c>
      <c r="D23" s="2" t="s">
        <v>43</v>
      </c>
    </row>
    <row r="24" spans="1:4" x14ac:dyDescent="0.25">
      <c r="A24" t="s">
        <v>30</v>
      </c>
      <c r="C24" s="2">
        <v>2</v>
      </c>
      <c r="D24" s="2" t="s">
        <v>43</v>
      </c>
    </row>
    <row r="25" spans="1:4" x14ac:dyDescent="0.25">
      <c r="A25" t="s">
        <v>17</v>
      </c>
      <c r="C25" s="2">
        <v>3</v>
      </c>
      <c r="D25" s="2" t="s">
        <v>43</v>
      </c>
    </row>
    <row r="26" spans="1:4" x14ac:dyDescent="0.25">
      <c r="A26" t="s">
        <v>23</v>
      </c>
      <c r="C26" s="2">
        <v>4</v>
      </c>
      <c r="D26" s="2" t="s">
        <v>42</v>
      </c>
    </row>
    <row r="27" spans="1:4" x14ac:dyDescent="0.25">
      <c r="A27" t="s">
        <v>10</v>
      </c>
      <c r="C27" s="2">
        <v>1</v>
      </c>
      <c r="D27" s="2" t="s">
        <v>43</v>
      </c>
    </row>
    <row r="28" spans="1:4" x14ac:dyDescent="0.25">
      <c r="A28" t="s">
        <v>14</v>
      </c>
      <c r="C28" s="2">
        <v>2</v>
      </c>
      <c r="D28" s="2" t="s">
        <v>43</v>
      </c>
    </row>
    <row r="29" spans="1:4" x14ac:dyDescent="0.25">
      <c r="A29" t="s">
        <v>6</v>
      </c>
      <c r="C29" s="2">
        <v>3</v>
      </c>
      <c r="D29" s="2" t="s">
        <v>43</v>
      </c>
    </row>
    <row r="30" spans="1:4" x14ac:dyDescent="0.25">
      <c r="A30" t="s">
        <v>22</v>
      </c>
      <c r="C30" s="2">
        <v>4</v>
      </c>
      <c r="D30" s="2" t="s">
        <v>42</v>
      </c>
    </row>
    <row r="31" spans="1:4" x14ac:dyDescent="0.25">
      <c r="A31" t="s">
        <v>11</v>
      </c>
      <c r="C31" s="2">
        <v>1</v>
      </c>
      <c r="D31" s="2" t="s">
        <v>43</v>
      </c>
    </row>
    <row r="32" spans="1:4" x14ac:dyDescent="0.25">
      <c r="A32" t="s">
        <v>16</v>
      </c>
      <c r="C32" s="2">
        <v>2</v>
      </c>
      <c r="D32" s="2" t="s">
        <v>43</v>
      </c>
    </row>
    <row r="33" spans="1:4" x14ac:dyDescent="0.25">
      <c r="A33" t="s">
        <v>38</v>
      </c>
      <c r="C33" s="2">
        <v>3</v>
      </c>
      <c r="D33" s="2" t="s">
        <v>43</v>
      </c>
    </row>
    <row r="34" spans="1:4" x14ac:dyDescent="0.25">
      <c r="A34" t="s">
        <v>20</v>
      </c>
      <c r="C34" s="2">
        <v>4</v>
      </c>
      <c r="D34" s="2" t="s">
        <v>43</v>
      </c>
    </row>
    <row r="35" spans="1:4" x14ac:dyDescent="0.25">
      <c r="A35" t="s">
        <v>32</v>
      </c>
      <c r="C35" s="2">
        <v>1</v>
      </c>
      <c r="D35" s="2" t="s">
        <v>43</v>
      </c>
    </row>
    <row r="36" spans="1:4" x14ac:dyDescent="0.25">
      <c r="A36" t="s">
        <v>35</v>
      </c>
      <c r="C36" s="2">
        <v>2</v>
      </c>
      <c r="D36" s="2" t="s">
        <v>43</v>
      </c>
    </row>
    <row r="37" spans="1:4" x14ac:dyDescent="0.25">
      <c r="A37" t="s">
        <v>9</v>
      </c>
      <c r="C37" s="2">
        <v>3</v>
      </c>
      <c r="D37" s="2" t="s">
        <v>43</v>
      </c>
    </row>
    <row r="38" spans="1:4" x14ac:dyDescent="0.25">
      <c r="A38" s="15" t="s">
        <v>25</v>
      </c>
      <c r="C38" s="2">
        <v>4</v>
      </c>
      <c r="D38" s="2" t="s">
        <v>43</v>
      </c>
    </row>
    <row r="39" spans="1:4" x14ac:dyDescent="0.25">
      <c r="A39" t="s">
        <v>31</v>
      </c>
      <c r="C39" s="2">
        <v>1</v>
      </c>
      <c r="D39" s="2" t="s">
        <v>43</v>
      </c>
    </row>
    <row r="40" spans="1:4" x14ac:dyDescent="0.25">
      <c r="A40" t="s">
        <v>44</v>
      </c>
      <c r="C40" s="2">
        <v>2</v>
      </c>
      <c r="D40" s="2" t="s">
        <v>43</v>
      </c>
    </row>
    <row r="41" spans="1:4" x14ac:dyDescent="0.25">
      <c r="A41" t="s">
        <v>45</v>
      </c>
      <c r="C41" s="2">
        <v>3</v>
      </c>
      <c r="D41" s="2" t="s">
        <v>43</v>
      </c>
    </row>
    <row r="42" spans="1:4" x14ac:dyDescent="0.25">
      <c r="A42" t="s">
        <v>46</v>
      </c>
      <c r="C42" s="2">
        <v>4</v>
      </c>
      <c r="D42" s="2" t="s">
        <v>43</v>
      </c>
    </row>
    <row r="43" spans="1:4" x14ac:dyDescent="0.25">
      <c r="A43" t="s">
        <v>47</v>
      </c>
      <c r="C43" s="2">
        <v>1</v>
      </c>
      <c r="D43" s="2" t="s">
        <v>43</v>
      </c>
    </row>
    <row r="44" spans="1:4" x14ac:dyDescent="0.25">
      <c r="A44" t="s">
        <v>48</v>
      </c>
      <c r="C44" s="2">
        <v>2</v>
      </c>
      <c r="D44" s="2" t="s">
        <v>43</v>
      </c>
    </row>
    <row r="45" spans="1:4" x14ac:dyDescent="0.25">
      <c r="A45" t="s">
        <v>49</v>
      </c>
      <c r="C45" s="2">
        <v>3</v>
      </c>
      <c r="D45" s="2" t="s">
        <v>43</v>
      </c>
    </row>
  </sheetData>
  <sortState ref="A3:A39">
    <sortCondition ref="A3"/>
  </sortState>
  <dataValidations count="1">
    <dataValidation type="list" allowBlank="1" showInputMessage="1" showErrorMessage="1" sqref="D3:D45">
      <formula1>"Oui,Non"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ImportGoogleForm"/>
  <dimension ref="A1:AK53"/>
  <sheetViews>
    <sheetView tabSelected="1" workbookViewId="0">
      <selection activeCell="B7" sqref="B7:B107"/>
    </sheetView>
  </sheetViews>
  <sheetFormatPr baseColWidth="10" defaultColWidth="10.85546875" defaultRowHeight="15" x14ac:dyDescent="0.25"/>
  <cols>
    <col min="1" max="1" width="19.42578125" style="7" customWidth="1"/>
    <col min="2" max="2" width="10.85546875" style="7"/>
    <col min="3" max="37" width="5" style="7" customWidth="1"/>
    <col min="38" max="16384" width="10.85546875" style="7"/>
  </cols>
  <sheetData>
    <row r="1" spans="1:37" ht="20.25" x14ac:dyDescent="0.25">
      <c r="A1" s="83" t="s">
        <v>96</v>
      </c>
      <c r="B1" s="8"/>
    </row>
    <row r="2" spans="1:37" x14ac:dyDescent="0.25">
      <c r="B2" s="8"/>
    </row>
    <row r="3" spans="1:37" ht="19.5" thickBot="1" x14ac:dyDescent="0.3">
      <c r="A3" s="80" t="s">
        <v>50</v>
      </c>
      <c r="B3" s="81">
        <v>1</v>
      </c>
      <c r="C3" s="82"/>
      <c r="D3" s="82"/>
      <c r="E3" s="82"/>
      <c r="F3" s="82"/>
      <c r="G3" s="82"/>
      <c r="H3" s="111">
        <v>5</v>
      </c>
      <c r="I3" s="111"/>
      <c r="J3" s="111"/>
      <c r="K3" s="111"/>
      <c r="L3" s="112">
        <v>43129</v>
      </c>
      <c r="M3" s="112"/>
      <c r="N3" s="112"/>
      <c r="O3" s="112"/>
      <c r="P3" s="112"/>
      <c r="Q3" s="112"/>
      <c r="R3" s="112"/>
      <c r="S3" s="113">
        <f>L3+6</f>
        <v>43135</v>
      </c>
      <c r="T3" s="113"/>
      <c r="U3" s="113"/>
      <c r="V3" s="113"/>
      <c r="W3" s="113"/>
      <c r="X3" s="113"/>
      <c r="Y3" s="113"/>
      <c r="Z3" s="113"/>
    </row>
    <row r="4" spans="1:37" ht="18.75" x14ac:dyDescent="0.25">
      <c r="A4" s="99" t="s">
        <v>95</v>
      </c>
      <c r="B4" s="105" t="s">
        <v>94</v>
      </c>
      <c r="C4" s="102">
        <f>+$L$3</f>
        <v>43129</v>
      </c>
      <c r="D4" s="102"/>
      <c r="E4" s="102"/>
      <c r="F4" s="102"/>
      <c r="G4" s="103"/>
      <c r="H4" s="104">
        <f>+C$4+1</f>
        <v>43130</v>
      </c>
      <c r="I4" s="102"/>
      <c r="J4" s="102"/>
      <c r="K4" s="102"/>
      <c r="L4" s="103"/>
      <c r="M4" s="104">
        <f>+H$4+1</f>
        <v>43131</v>
      </c>
      <c r="N4" s="102"/>
      <c r="O4" s="102"/>
      <c r="P4" s="102"/>
      <c r="Q4" s="103"/>
      <c r="R4" s="104">
        <f>+M$4+1</f>
        <v>43132</v>
      </c>
      <c r="S4" s="102"/>
      <c r="T4" s="102"/>
      <c r="U4" s="102"/>
      <c r="V4" s="103"/>
      <c r="W4" s="108">
        <f>+R$4+1</f>
        <v>43133</v>
      </c>
      <c r="X4" s="109"/>
      <c r="Y4" s="109"/>
      <c r="Z4" s="109"/>
      <c r="AA4" s="110"/>
      <c r="AB4" s="108">
        <f>+W$4+1</f>
        <v>43134</v>
      </c>
      <c r="AC4" s="109"/>
      <c r="AD4" s="109"/>
      <c r="AE4" s="109"/>
      <c r="AF4" s="110"/>
      <c r="AG4" s="108">
        <f>+AB$4+1</f>
        <v>43135</v>
      </c>
      <c r="AH4" s="109"/>
      <c r="AI4" s="109"/>
      <c r="AJ4" s="109"/>
      <c r="AK4" s="110"/>
    </row>
    <row r="5" spans="1:37" x14ac:dyDescent="0.25">
      <c r="A5" s="100"/>
      <c r="B5" s="106"/>
      <c r="C5" s="87" t="s">
        <v>51</v>
      </c>
      <c r="D5" s="10" t="s">
        <v>52</v>
      </c>
      <c r="E5" s="10" t="s">
        <v>53</v>
      </c>
      <c r="F5" s="10" t="s">
        <v>54</v>
      </c>
      <c r="G5" s="11" t="s">
        <v>55</v>
      </c>
      <c r="H5" s="9" t="s">
        <v>51</v>
      </c>
      <c r="I5" s="10" t="s">
        <v>52</v>
      </c>
      <c r="J5" s="10" t="s">
        <v>53</v>
      </c>
      <c r="K5" s="10" t="s">
        <v>54</v>
      </c>
      <c r="L5" s="11" t="s">
        <v>55</v>
      </c>
      <c r="M5" s="9" t="s">
        <v>51</v>
      </c>
      <c r="N5" s="10" t="s">
        <v>52</v>
      </c>
      <c r="O5" s="10" t="s">
        <v>53</v>
      </c>
      <c r="P5" s="10" t="s">
        <v>54</v>
      </c>
      <c r="Q5" s="11" t="s">
        <v>55</v>
      </c>
      <c r="R5" s="9" t="s">
        <v>51</v>
      </c>
      <c r="S5" s="10" t="s">
        <v>52</v>
      </c>
      <c r="T5" s="10" t="s">
        <v>53</v>
      </c>
      <c r="U5" s="10" t="s">
        <v>54</v>
      </c>
      <c r="V5" s="11" t="s">
        <v>55</v>
      </c>
      <c r="W5" s="9" t="s">
        <v>51</v>
      </c>
      <c r="X5" s="10" t="s">
        <v>52</v>
      </c>
      <c r="Y5" s="10" t="s">
        <v>53</v>
      </c>
      <c r="Z5" s="10" t="s">
        <v>54</v>
      </c>
      <c r="AA5" s="11" t="s">
        <v>55</v>
      </c>
      <c r="AB5" s="9" t="s">
        <v>51</v>
      </c>
      <c r="AC5" s="10" t="s">
        <v>52</v>
      </c>
      <c r="AD5" s="10" t="s">
        <v>53</v>
      </c>
      <c r="AE5" s="10" t="s">
        <v>54</v>
      </c>
      <c r="AF5" s="11" t="s">
        <v>55</v>
      </c>
      <c r="AG5" s="9" t="s">
        <v>51</v>
      </c>
      <c r="AH5" s="10" t="s">
        <v>52</v>
      </c>
      <c r="AI5" s="10" t="s">
        <v>53</v>
      </c>
      <c r="AJ5" s="10" t="s">
        <v>54</v>
      </c>
      <c r="AK5" s="11" t="s">
        <v>55</v>
      </c>
    </row>
    <row r="6" spans="1:37" ht="15.75" thickBot="1" x14ac:dyDescent="0.3">
      <c r="A6" s="101"/>
      <c r="B6" s="107"/>
      <c r="C6" s="88" t="s">
        <v>52</v>
      </c>
      <c r="D6" s="13" t="s">
        <v>53</v>
      </c>
      <c r="E6" s="13" t="s">
        <v>54</v>
      </c>
      <c r="F6" s="13" t="s">
        <v>55</v>
      </c>
      <c r="G6" s="14" t="s">
        <v>51</v>
      </c>
      <c r="H6" s="12" t="s">
        <v>52</v>
      </c>
      <c r="I6" s="13" t="s">
        <v>53</v>
      </c>
      <c r="J6" s="13" t="s">
        <v>54</v>
      </c>
      <c r="K6" s="13" t="s">
        <v>55</v>
      </c>
      <c r="L6" s="14" t="s">
        <v>51</v>
      </c>
      <c r="M6" s="12" t="s">
        <v>52</v>
      </c>
      <c r="N6" s="13" t="s">
        <v>53</v>
      </c>
      <c r="O6" s="13" t="s">
        <v>54</v>
      </c>
      <c r="P6" s="13" t="s">
        <v>55</v>
      </c>
      <c r="Q6" s="14" t="s">
        <v>51</v>
      </c>
      <c r="R6" s="12" t="s">
        <v>52</v>
      </c>
      <c r="S6" s="13" t="s">
        <v>53</v>
      </c>
      <c r="T6" s="13" t="s">
        <v>54</v>
      </c>
      <c r="U6" s="13" t="s">
        <v>55</v>
      </c>
      <c r="V6" s="14" t="s">
        <v>51</v>
      </c>
      <c r="W6" s="12" t="s">
        <v>52</v>
      </c>
      <c r="X6" s="13" t="s">
        <v>53</v>
      </c>
      <c r="Y6" s="13" t="s">
        <v>54</v>
      </c>
      <c r="Z6" s="13" t="s">
        <v>55</v>
      </c>
      <c r="AA6" s="14" t="s">
        <v>51</v>
      </c>
      <c r="AB6" s="12" t="s">
        <v>52</v>
      </c>
      <c r="AC6" s="13" t="s">
        <v>53</v>
      </c>
      <c r="AD6" s="13" t="s">
        <v>54</v>
      </c>
      <c r="AE6" s="13" t="s">
        <v>55</v>
      </c>
      <c r="AF6" s="14" t="s">
        <v>51</v>
      </c>
      <c r="AG6" s="12" t="s">
        <v>52</v>
      </c>
      <c r="AH6" s="13" t="s">
        <v>53</v>
      </c>
      <c r="AI6" s="13" t="s">
        <v>54</v>
      </c>
      <c r="AJ6" s="13" t="s">
        <v>55</v>
      </c>
      <c r="AK6" s="14" t="s">
        <v>51</v>
      </c>
    </row>
    <row r="7" spans="1:37" x14ac:dyDescent="0.25">
      <c r="A7" s="91">
        <f>VLOOKUP(Import_GoogleForm!$B7,Administratif!$A$3:$C$100,3,FALSE)</f>
        <v>2</v>
      </c>
      <c r="B7" s="92" t="s">
        <v>5</v>
      </c>
      <c r="C7" s="89"/>
      <c r="D7" s="3"/>
      <c r="E7" s="3" t="s">
        <v>42</v>
      </c>
      <c r="F7" s="3" t="s">
        <v>42</v>
      </c>
      <c r="G7" s="4"/>
      <c r="H7" s="3"/>
      <c r="I7" s="3"/>
      <c r="J7" s="3" t="s">
        <v>42</v>
      </c>
      <c r="K7" s="3" t="s">
        <v>42</v>
      </c>
      <c r="L7" s="4"/>
      <c r="M7" s="3"/>
      <c r="N7" s="3"/>
      <c r="O7" s="3"/>
      <c r="P7" s="3"/>
      <c r="Q7" s="4"/>
      <c r="R7" s="3"/>
      <c r="S7" s="3"/>
      <c r="T7" s="3" t="s">
        <v>42</v>
      </c>
      <c r="U7" s="3" t="s">
        <v>42</v>
      </c>
      <c r="V7" s="4"/>
      <c r="W7" s="3"/>
      <c r="X7" s="3"/>
      <c r="Y7" s="3"/>
      <c r="Z7" s="3"/>
      <c r="AA7" s="4"/>
      <c r="AB7" s="3"/>
      <c r="AC7" s="3"/>
      <c r="AD7" s="3"/>
      <c r="AE7" s="3"/>
      <c r="AF7" s="4"/>
      <c r="AG7" s="3"/>
      <c r="AH7" s="3"/>
      <c r="AI7" s="3" t="s">
        <v>42</v>
      </c>
      <c r="AJ7" s="3" t="s">
        <v>42</v>
      </c>
      <c r="AK7" s="4"/>
    </row>
    <row r="8" spans="1:37" x14ac:dyDescent="0.25">
      <c r="A8" s="93">
        <f>VLOOKUP(Import_GoogleForm!$B8,Administratif!$A$3:$C$100,3,FALSE)</f>
        <v>1</v>
      </c>
      <c r="B8" s="94" t="s">
        <v>21</v>
      </c>
      <c r="C8" s="90" t="s">
        <v>42</v>
      </c>
      <c r="D8" s="5" t="s">
        <v>42</v>
      </c>
      <c r="E8" s="5" t="s">
        <v>42</v>
      </c>
      <c r="F8" s="5" t="s">
        <v>42</v>
      </c>
      <c r="G8" s="6" t="s">
        <v>42</v>
      </c>
      <c r="H8" s="5" t="s">
        <v>42</v>
      </c>
      <c r="I8" s="5" t="s">
        <v>42</v>
      </c>
      <c r="J8" s="5" t="s">
        <v>42</v>
      </c>
      <c r="K8" s="5" t="s">
        <v>42</v>
      </c>
      <c r="L8" s="6" t="s">
        <v>42</v>
      </c>
      <c r="M8" s="5"/>
      <c r="N8" s="5"/>
      <c r="O8" s="5"/>
      <c r="P8" s="5"/>
      <c r="Q8" s="6"/>
      <c r="R8" s="5"/>
      <c r="S8" s="5"/>
      <c r="T8" s="5"/>
      <c r="U8" s="5"/>
      <c r="V8" s="6"/>
      <c r="W8" s="5"/>
      <c r="X8" s="5"/>
      <c r="Y8" s="5"/>
      <c r="Z8" s="5"/>
      <c r="AA8" s="6"/>
      <c r="AB8" s="5"/>
      <c r="AC8" s="5" t="s">
        <v>42</v>
      </c>
      <c r="AD8" s="5" t="s">
        <v>42</v>
      </c>
      <c r="AE8" s="5"/>
      <c r="AF8" s="6"/>
      <c r="AG8" s="5"/>
      <c r="AH8" s="5"/>
      <c r="AI8" s="5" t="s">
        <v>42</v>
      </c>
      <c r="AJ8" s="5" t="s">
        <v>42</v>
      </c>
      <c r="AK8" s="6"/>
    </row>
    <row r="9" spans="1:37" x14ac:dyDescent="0.25">
      <c r="A9" s="93">
        <f>VLOOKUP(Import_GoogleForm!$B9,Administratif!$A$3:$C$100,3,FALSE)</f>
        <v>3</v>
      </c>
      <c r="B9" s="94" t="s">
        <v>13</v>
      </c>
      <c r="C9" s="90"/>
      <c r="D9" s="5"/>
      <c r="E9" s="5"/>
      <c r="F9" s="5" t="s">
        <v>42</v>
      </c>
      <c r="G9" s="6"/>
      <c r="H9" s="5"/>
      <c r="I9" s="5"/>
      <c r="J9" s="5"/>
      <c r="K9" s="5" t="s">
        <v>42</v>
      </c>
      <c r="L9" s="6"/>
      <c r="M9" s="5"/>
      <c r="N9" s="5"/>
      <c r="O9" s="5"/>
      <c r="P9" s="5"/>
      <c r="Q9" s="6"/>
      <c r="R9" s="5"/>
      <c r="S9" s="5"/>
      <c r="T9" s="5"/>
      <c r="U9" s="5"/>
      <c r="V9" s="6"/>
      <c r="W9" s="5"/>
      <c r="X9" s="5"/>
      <c r="Y9" s="5"/>
      <c r="Z9" s="5" t="s">
        <v>42</v>
      </c>
      <c r="AA9" s="6"/>
      <c r="AB9" s="5"/>
      <c r="AC9" s="5"/>
      <c r="AD9" s="5"/>
      <c r="AE9" s="5"/>
      <c r="AF9" s="6"/>
      <c r="AG9" s="5"/>
      <c r="AH9" s="5"/>
      <c r="AI9" s="5"/>
      <c r="AJ9" s="5"/>
      <c r="AK9" s="6"/>
    </row>
    <row r="10" spans="1:37" x14ac:dyDescent="0.25">
      <c r="A10" s="93">
        <f>VLOOKUP(Import_GoogleForm!$B10,Administratif!$A$3:$C$100,3,FALSE)</f>
        <v>4</v>
      </c>
      <c r="B10" s="94" t="s">
        <v>12</v>
      </c>
      <c r="C10" s="90"/>
      <c r="D10" s="5"/>
      <c r="E10" s="5"/>
      <c r="F10" s="5" t="s">
        <v>42</v>
      </c>
      <c r="G10" s="6" t="s">
        <v>42</v>
      </c>
      <c r="H10" s="5"/>
      <c r="I10" s="5"/>
      <c r="J10" s="5"/>
      <c r="K10" s="5"/>
      <c r="L10" s="6" t="s">
        <v>42</v>
      </c>
      <c r="M10" s="5"/>
      <c r="N10" s="5"/>
      <c r="O10" s="5"/>
      <c r="P10" s="5"/>
      <c r="Q10" s="6" t="s">
        <v>42</v>
      </c>
      <c r="R10" s="5"/>
      <c r="S10" s="5"/>
      <c r="T10" s="5"/>
      <c r="U10" s="5"/>
      <c r="V10" s="6" t="s">
        <v>42</v>
      </c>
      <c r="W10" s="5"/>
      <c r="X10" s="5"/>
      <c r="Y10" s="5"/>
      <c r="Z10" s="5"/>
      <c r="AA10" s="6"/>
      <c r="AB10" s="5"/>
      <c r="AC10" s="5"/>
      <c r="AD10" s="5"/>
      <c r="AE10" s="5"/>
      <c r="AF10" s="6" t="s">
        <v>42</v>
      </c>
      <c r="AG10" s="5" t="s">
        <v>42</v>
      </c>
      <c r="AH10" s="5"/>
      <c r="AI10" s="5"/>
      <c r="AJ10" s="5" t="s">
        <v>42</v>
      </c>
      <c r="AK10" s="6"/>
    </row>
    <row r="11" spans="1:37" x14ac:dyDescent="0.25">
      <c r="A11" s="93">
        <f>VLOOKUP(Import_GoogleForm!$B11,Administratif!$A$3:$C$100,3,FALSE)</f>
        <v>2</v>
      </c>
      <c r="B11" s="94" t="s">
        <v>15</v>
      </c>
      <c r="C11" s="90" t="s">
        <v>43</v>
      </c>
      <c r="D11" s="5" t="s">
        <v>43</v>
      </c>
      <c r="E11" s="5" t="s">
        <v>43</v>
      </c>
      <c r="F11" s="5" t="s">
        <v>42</v>
      </c>
      <c r="G11" s="6" t="s">
        <v>43</v>
      </c>
      <c r="H11" s="5" t="s">
        <v>43</v>
      </c>
      <c r="I11" s="5" t="s">
        <v>43</v>
      </c>
      <c r="J11" s="5" t="s">
        <v>43</v>
      </c>
      <c r="K11" s="5" t="s">
        <v>43</v>
      </c>
      <c r="L11" s="6" t="s">
        <v>43</v>
      </c>
      <c r="M11" s="5" t="s">
        <v>43</v>
      </c>
      <c r="N11" s="5" t="s">
        <v>43</v>
      </c>
      <c r="O11" s="5" t="s">
        <v>43</v>
      </c>
      <c r="P11" s="5" t="s">
        <v>42</v>
      </c>
      <c r="Q11" s="6" t="s">
        <v>43</v>
      </c>
      <c r="R11" s="5" t="s">
        <v>43</v>
      </c>
      <c r="S11" s="5" t="s">
        <v>43</v>
      </c>
      <c r="T11" s="5" t="s">
        <v>43</v>
      </c>
      <c r="U11" s="5" t="s">
        <v>42</v>
      </c>
      <c r="V11" s="6" t="s">
        <v>43</v>
      </c>
      <c r="W11" s="5" t="s">
        <v>43</v>
      </c>
      <c r="X11" s="5" t="s">
        <v>43</v>
      </c>
      <c r="Y11" s="5" t="s">
        <v>43</v>
      </c>
      <c r="Z11" s="5" t="s">
        <v>42</v>
      </c>
      <c r="AA11" s="6" t="s">
        <v>43</v>
      </c>
      <c r="AB11" s="5" t="s">
        <v>43</v>
      </c>
      <c r="AC11" s="5" t="s">
        <v>43</v>
      </c>
      <c r="AD11" s="5" t="s">
        <v>43</v>
      </c>
      <c r="AE11" s="5" t="s">
        <v>43</v>
      </c>
      <c r="AF11" s="6" t="s">
        <v>43</v>
      </c>
      <c r="AG11" s="5" t="s">
        <v>43</v>
      </c>
      <c r="AH11" s="5" t="s">
        <v>43</v>
      </c>
      <c r="AI11" s="5" t="s">
        <v>43</v>
      </c>
      <c r="AJ11" s="5" t="s">
        <v>43</v>
      </c>
      <c r="AK11" s="6" t="s">
        <v>43</v>
      </c>
    </row>
    <row r="12" spans="1:37" x14ac:dyDescent="0.25">
      <c r="A12" s="93">
        <f>VLOOKUP(Import_GoogleForm!$B12,Administratif!$A$3:$C$100,3,FALSE)</f>
        <v>2</v>
      </c>
      <c r="B12" s="94" t="s">
        <v>14</v>
      </c>
      <c r="C12" s="90"/>
      <c r="D12" s="5" t="s">
        <v>42</v>
      </c>
      <c r="E12" s="5" t="s">
        <v>42</v>
      </c>
      <c r="F12" s="5" t="s">
        <v>42</v>
      </c>
      <c r="G12" s="6" t="s">
        <v>42</v>
      </c>
      <c r="H12" s="5"/>
      <c r="I12" s="5" t="s">
        <v>42</v>
      </c>
      <c r="J12" s="5" t="s">
        <v>42</v>
      </c>
      <c r="K12" s="5" t="s">
        <v>42</v>
      </c>
      <c r="L12" s="6" t="s">
        <v>42</v>
      </c>
      <c r="M12" s="5"/>
      <c r="N12" s="5" t="s">
        <v>42</v>
      </c>
      <c r="O12" s="5" t="s">
        <v>42</v>
      </c>
      <c r="P12" s="5" t="s">
        <v>42</v>
      </c>
      <c r="Q12" s="6"/>
      <c r="R12" s="5"/>
      <c r="S12" s="5"/>
      <c r="T12" s="5"/>
      <c r="U12" s="5"/>
      <c r="V12" s="6"/>
      <c r="W12" s="5"/>
      <c r="X12" s="5"/>
      <c r="Y12" s="5"/>
      <c r="Z12" s="5"/>
      <c r="AA12" s="6"/>
      <c r="AB12" s="5"/>
      <c r="AC12" s="5"/>
      <c r="AD12" s="5"/>
      <c r="AE12" s="5"/>
      <c r="AF12" s="6"/>
      <c r="AG12" s="5"/>
      <c r="AH12" s="5"/>
      <c r="AI12" s="5"/>
      <c r="AJ12" s="5"/>
      <c r="AK12" s="6"/>
    </row>
    <row r="13" spans="1:37" x14ac:dyDescent="0.25">
      <c r="A13" s="93">
        <f>VLOOKUP(Import_GoogleForm!$B13,Administratif!$A$3:$C$100,3,FALSE)</f>
        <v>1</v>
      </c>
      <c r="B13" s="94" t="s">
        <v>7</v>
      </c>
      <c r="C13" s="90"/>
      <c r="D13" s="5"/>
      <c r="E13" s="5"/>
      <c r="F13" s="5"/>
      <c r="G13" s="6"/>
      <c r="H13" s="5"/>
      <c r="I13" s="5" t="s">
        <v>42</v>
      </c>
      <c r="J13" s="5" t="s">
        <v>42</v>
      </c>
      <c r="K13" s="5"/>
      <c r="L13" s="6"/>
      <c r="M13" s="5"/>
      <c r="N13" s="5"/>
      <c r="O13" s="5"/>
      <c r="P13" s="5"/>
      <c r="Q13" s="6"/>
      <c r="R13" s="5"/>
      <c r="S13" s="5"/>
      <c r="T13" s="5"/>
      <c r="U13" s="5"/>
      <c r="V13" s="6"/>
      <c r="W13" s="5"/>
      <c r="X13" s="5"/>
      <c r="Y13" s="5"/>
      <c r="Z13" s="5"/>
      <c r="AA13" s="6"/>
      <c r="AB13" s="5"/>
      <c r="AC13" s="5"/>
      <c r="AD13" s="5" t="s">
        <v>42</v>
      </c>
      <c r="AE13" s="5" t="s">
        <v>42</v>
      </c>
      <c r="AF13" s="6"/>
      <c r="AG13" s="5"/>
      <c r="AH13" s="5"/>
      <c r="AI13" s="5" t="s">
        <v>42</v>
      </c>
      <c r="AJ13" s="5" t="s">
        <v>42</v>
      </c>
      <c r="AK13" s="6"/>
    </row>
    <row r="14" spans="1:37" x14ac:dyDescent="0.25">
      <c r="A14" s="93">
        <f>VLOOKUP(Import_GoogleForm!$B14,Administratif!$A$3:$C$100,3,FALSE)</f>
        <v>2</v>
      </c>
      <c r="B14" s="94" t="s">
        <v>44</v>
      </c>
      <c r="C14" s="90"/>
      <c r="D14" s="5"/>
      <c r="E14" s="5"/>
      <c r="F14" s="5"/>
      <c r="G14" s="6"/>
      <c r="H14" s="5"/>
      <c r="I14" s="5"/>
      <c r="J14" s="5"/>
      <c r="K14" s="5" t="s">
        <v>42</v>
      </c>
      <c r="L14" s="6"/>
      <c r="M14" s="5"/>
      <c r="N14" s="5"/>
      <c r="O14" s="5"/>
      <c r="P14" s="5"/>
      <c r="Q14" s="6"/>
      <c r="R14" s="5"/>
      <c r="S14" s="5"/>
      <c r="T14" s="5"/>
      <c r="U14" s="5" t="s">
        <v>42</v>
      </c>
      <c r="V14" s="6"/>
      <c r="W14" s="5"/>
      <c r="X14" s="5"/>
      <c r="Y14" s="5"/>
      <c r="Z14" s="5"/>
      <c r="AA14" s="6"/>
      <c r="AB14" s="5"/>
      <c r="AC14" s="5"/>
      <c r="AD14" s="5"/>
      <c r="AE14" s="5"/>
      <c r="AF14" s="6"/>
      <c r="AG14" s="5"/>
      <c r="AH14" s="5"/>
      <c r="AI14" s="5"/>
      <c r="AJ14" s="5"/>
      <c r="AK14" s="6"/>
    </row>
    <row r="15" spans="1:37" x14ac:dyDescent="0.25">
      <c r="A15" s="93">
        <f>VLOOKUP(Import_GoogleForm!$B15,Administratif!$A$3:$C$100,3,FALSE)</f>
        <v>3</v>
      </c>
      <c r="B15" s="94" t="s">
        <v>45</v>
      </c>
      <c r="C15" s="90" t="s">
        <v>43</v>
      </c>
      <c r="D15" s="5" t="s">
        <v>43</v>
      </c>
      <c r="E15" s="5" t="s">
        <v>43</v>
      </c>
      <c r="F15" s="5" t="s">
        <v>43</v>
      </c>
      <c r="G15" s="6" t="s">
        <v>43</v>
      </c>
      <c r="H15" s="5" t="s">
        <v>43</v>
      </c>
      <c r="I15" s="5" t="s">
        <v>43</v>
      </c>
      <c r="J15" s="5" t="s">
        <v>42</v>
      </c>
      <c r="K15" s="5" t="s">
        <v>42</v>
      </c>
      <c r="L15" s="6" t="s">
        <v>43</v>
      </c>
      <c r="M15" s="5" t="s">
        <v>43</v>
      </c>
      <c r="N15" s="5" t="s">
        <v>43</v>
      </c>
      <c r="O15" s="5" t="s">
        <v>43</v>
      </c>
      <c r="P15" s="5" t="s">
        <v>43</v>
      </c>
      <c r="Q15" s="6" t="s">
        <v>43</v>
      </c>
      <c r="R15" s="5" t="s">
        <v>43</v>
      </c>
      <c r="S15" s="5" t="s">
        <v>43</v>
      </c>
      <c r="T15" s="5" t="s">
        <v>42</v>
      </c>
      <c r="U15" s="5" t="s">
        <v>42</v>
      </c>
      <c r="V15" s="6" t="s">
        <v>43</v>
      </c>
      <c r="W15" s="5" t="s">
        <v>43</v>
      </c>
      <c r="X15" s="5" t="s">
        <v>43</v>
      </c>
      <c r="Y15" s="5" t="s">
        <v>43</v>
      </c>
      <c r="Z15" s="5" t="s">
        <v>43</v>
      </c>
      <c r="AA15" s="6" t="s">
        <v>43</v>
      </c>
      <c r="AB15" s="5" t="s">
        <v>43</v>
      </c>
      <c r="AC15" s="5" t="s">
        <v>43</v>
      </c>
      <c r="AD15" s="5" t="s">
        <v>42</v>
      </c>
      <c r="AE15" s="5" t="s">
        <v>43</v>
      </c>
      <c r="AF15" s="6" t="s">
        <v>43</v>
      </c>
      <c r="AG15" s="5" t="s">
        <v>43</v>
      </c>
      <c r="AH15" s="5" t="s">
        <v>43</v>
      </c>
      <c r="AI15" s="5" t="s">
        <v>43</v>
      </c>
      <c r="AJ15" s="5" t="s">
        <v>43</v>
      </c>
      <c r="AK15" s="6" t="s">
        <v>43</v>
      </c>
    </row>
    <row r="16" spans="1:37" x14ac:dyDescent="0.25">
      <c r="A16" s="93">
        <f>VLOOKUP(Import_GoogleForm!$B16,Administratif!$A$3:$C$100,3,FALSE)</f>
        <v>4</v>
      </c>
      <c r="B16" s="94" t="s">
        <v>46</v>
      </c>
      <c r="C16" s="90"/>
      <c r="D16" s="5"/>
      <c r="E16" s="5"/>
      <c r="F16" s="5"/>
      <c r="G16" s="6"/>
      <c r="H16" s="5"/>
      <c r="I16" s="5"/>
      <c r="J16" s="5"/>
      <c r="K16" s="5" t="s">
        <v>42</v>
      </c>
      <c r="L16" s="6"/>
      <c r="M16" s="5"/>
      <c r="N16" s="5"/>
      <c r="O16" s="5"/>
      <c r="P16" s="5"/>
      <c r="Q16" s="6"/>
      <c r="R16" s="5"/>
      <c r="S16" s="5"/>
      <c r="T16" s="5"/>
      <c r="U16" s="5"/>
      <c r="V16" s="6"/>
      <c r="W16" s="5"/>
      <c r="X16" s="5"/>
      <c r="Y16" s="5"/>
      <c r="Z16" s="5"/>
      <c r="AA16" s="6"/>
      <c r="AB16" s="5"/>
      <c r="AC16" s="5"/>
      <c r="AD16" s="5" t="s">
        <v>42</v>
      </c>
      <c r="AE16" s="5" t="s">
        <v>42</v>
      </c>
      <c r="AF16" s="6"/>
      <c r="AG16" s="5"/>
      <c r="AH16" s="5"/>
      <c r="AI16" s="5"/>
      <c r="AJ16" s="5"/>
      <c r="AK16" s="6"/>
    </row>
    <row r="17" spans="1:37" x14ac:dyDescent="0.25">
      <c r="A17" s="93">
        <f>VLOOKUP(Import_GoogleForm!$B17,Administratif!$A$3:$C$100,3,FALSE)</f>
        <v>1</v>
      </c>
      <c r="B17" s="94" t="s">
        <v>47</v>
      </c>
      <c r="C17" s="90"/>
      <c r="D17" s="5"/>
      <c r="E17" s="5"/>
      <c r="F17" s="5"/>
      <c r="G17" s="6"/>
      <c r="H17" s="5"/>
      <c r="I17" s="5"/>
      <c r="J17" s="5"/>
      <c r="K17" s="5"/>
      <c r="L17" s="6"/>
      <c r="M17" s="5"/>
      <c r="N17" s="5"/>
      <c r="O17" s="5"/>
      <c r="P17" s="5"/>
      <c r="Q17" s="6"/>
      <c r="R17" s="5"/>
      <c r="S17" s="5"/>
      <c r="T17" s="5"/>
      <c r="U17" s="5"/>
      <c r="V17" s="6"/>
      <c r="W17" s="5"/>
      <c r="X17" s="5"/>
      <c r="Y17" s="5"/>
      <c r="Z17" s="5" t="s">
        <v>42</v>
      </c>
      <c r="AA17" s="6" t="s">
        <v>42</v>
      </c>
      <c r="AB17" s="5"/>
      <c r="AC17" s="5" t="s">
        <v>42</v>
      </c>
      <c r="AD17" s="5" t="s">
        <v>42</v>
      </c>
      <c r="AE17" s="5" t="s">
        <v>42</v>
      </c>
      <c r="AF17" s="6" t="s">
        <v>42</v>
      </c>
      <c r="AG17" s="5" t="s">
        <v>42</v>
      </c>
      <c r="AH17" s="5" t="s">
        <v>42</v>
      </c>
      <c r="AI17" s="5" t="s">
        <v>42</v>
      </c>
      <c r="AJ17" s="5"/>
      <c r="AK17" s="6"/>
    </row>
    <row r="18" spans="1:37" x14ac:dyDescent="0.25">
      <c r="A18" s="93">
        <f>VLOOKUP(Import_GoogleForm!$B18,Administratif!$A$3:$C$100,3,FALSE)</f>
        <v>2</v>
      </c>
      <c r="B18" s="94" t="s">
        <v>16</v>
      </c>
      <c r="C18" s="90" t="s">
        <v>42</v>
      </c>
      <c r="D18" s="5" t="s">
        <v>42</v>
      </c>
      <c r="E18" s="5" t="s">
        <v>42</v>
      </c>
      <c r="F18" s="5" t="s">
        <v>42</v>
      </c>
      <c r="G18" s="6" t="s">
        <v>42</v>
      </c>
      <c r="H18" s="5" t="s">
        <v>42</v>
      </c>
      <c r="I18" s="5" t="s">
        <v>42</v>
      </c>
      <c r="J18" s="5" t="s">
        <v>42</v>
      </c>
      <c r="K18" s="5"/>
      <c r="L18" s="6"/>
      <c r="M18" s="5" t="s">
        <v>42</v>
      </c>
      <c r="N18" s="5" t="s">
        <v>42</v>
      </c>
      <c r="O18" s="5" t="s">
        <v>42</v>
      </c>
      <c r="P18" s="5"/>
      <c r="Q18" s="6" t="s">
        <v>42</v>
      </c>
      <c r="R18" s="5" t="s">
        <v>42</v>
      </c>
      <c r="S18" s="5" t="s">
        <v>42</v>
      </c>
      <c r="T18" s="5" t="s">
        <v>42</v>
      </c>
      <c r="U18" s="5"/>
      <c r="V18" s="6"/>
      <c r="W18" s="5" t="s">
        <v>42</v>
      </c>
      <c r="X18" s="5" t="s">
        <v>42</v>
      </c>
      <c r="Y18" s="5" t="s">
        <v>42</v>
      </c>
      <c r="Z18" s="5"/>
      <c r="AA18" s="6" t="s">
        <v>42</v>
      </c>
      <c r="AB18" s="5" t="s">
        <v>42</v>
      </c>
      <c r="AC18" s="5" t="s">
        <v>42</v>
      </c>
      <c r="AD18" s="5" t="s">
        <v>42</v>
      </c>
      <c r="AE18" s="5"/>
      <c r="AF18" s="6" t="s">
        <v>42</v>
      </c>
      <c r="AG18" s="5" t="s">
        <v>42</v>
      </c>
      <c r="AH18" s="5" t="s">
        <v>42</v>
      </c>
      <c r="AI18" s="5" t="s">
        <v>42</v>
      </c>
      <c r="AJ18" s="5" t="s">
        <v>42</v>
      </c>
      <c r="AK18" s="6" t="s">
        <v>42</v>
      </c>
    </row>
    <row r="19" spans="1:37" x14ac:dyDescent="0.25">
      <c r="A19" s="93">
        <f>VLOOKUP(Import_GoogleForm!$B19,Administratif!$A$3:$C$100,3,FALSE)</f>
        <v>4</v>
      </c>
      <c r="B19" s="94" t="s">
        <v>25</v>
      </c>
      <c r="C19" s="90"/>
      <c r="D19" s="5"/>
      <c r="E19" s="5"/>
      <c r="F19" s="5"/>
      <c r="G19" s="6"/>
      <c r="H19" s="5"/>
      <c r="I19" s="5"/>
      <c r="J19" s="5"/>
      <c r="K19" s="5"/>
      <c r="L19" s="6"/>
      <c r="M19" s="5"/>
      <c r="N19" s="5"/>
      <c r="O19" s="5"/>
      <c r="P19" s="5"/>
      <c r="Q19" s="6"/>
      <c r="R19" s="5"/>
      <c r="S19" s="5"/>
      <c r="T19" s="5"/>
      <c r="U19" s="5"/>
      <c r="V19" s="6"/>
      <c r="W19" s="5"/>
      <c r="X19" s="5"/>
      <c r="Y19" s="5"/>
      <c r="Z19" s="5"/>
      <c r="AA19" s="6"/>
      <c r="AB19" s="5"/>
      <c r="AC19" s="5"/>
      <c r="AD19" s="5" t="s">
        <v>42</v>
      </c>
      <c r="AE19" s="5"/>
      <c r="AF19" s="6"/>
      <c r="AG19" s="5"/>
      <c r="AH19" s="5"/>
      <c r="AI19" s="5" t="s">
        <v>42</v>
      </c>
      <c r="AJ19" s="5"/>
      <c r="AK19" s="6"/>
    </row>
    <row r="20" spans="1:37" x14ac:dyDescent="0.25">
      <c r="A20" s="93">
        <f>VLOOKUP(Import_GoogleForm!$B20,Administratif!$A$3:$C$100,3,FALSE)</f>
        <v>1</v>
      </c>
      <c r="B20" s="94" t="s">
        <v>24</v>
      </c>
      <c r="C20" s="90"/>
      <c r="D20" s="5"/>
      <c r="E20" s="5"/>
      <c r="F20" s="5"/>
      <c r="G20" s="6"/>
      <c r="H20" s="5"/>
      <c r="I20" s="5"/>
      <c r="J20" s="5"/>
      <c r="K20" s="5"/>
      <c r="L20" s="6"/>
      <c r="M20" s="5"/>
      <c r="N20" s="5"/>
      <c r="O20" s="5"/>
      <c r="P20" s="5" t="s">
        <v>42</v>
      </c>
      <c r="Q20" s="6"/>
      <c r="R20" s="5"/>
      <c r="S20" s="5"/>
      <c r="T20" s="5"/>
      <c r="U20" s="5"/>
      <c r="V20" s="6"/>
      <c r="W20" s="5"/>
      <c r="X20" s="5"/>
      <c r="Y20" s="5" t="s">
        <v>43</v>
      </c>
      <c r="Z20" s="5"/>
      <c r="AA20" s="6"/>
      <c r="AB20" s="5"/>
      <c r="AC20" s="5"/>
      <c r="AD20" s="5"/>
      <c r="AE20" s="5"/>
      <c r="AF20" s="6"/>
      <c r="AG20" s="5"/>
      <c r="AH20" s="5"/>
      <c r="AI20" s="5"/>
      <c r="AJ20" s="5"/>
      <c r="AK20" s="6"/>
    </row>
    <row r="21" spans="1:37" x14ac:dyDescent="0.25">
      <c r="A21" s="93">
        <f>VLOOKUP(Import_GoogleForm!$B21,Administratif!$A$3:$C$100,3,FALSE)</f>
        <v>4</v>
      </c>
      <c r="B21" s="94" t="s">
        <v>28</v>
      </c>
      <c r="C21" s="90"/>
      <c r="D21" s="5" t="s">
        <v>42</v>
      </c>
      <c r="E21" s="5" t="s">
        <v>42</v>
      </c>
      <c r="F21" s="5" t="s">
        <v>42</v>
      </c>
      <c r="G21" s="6"/>
      <c r="H21" s="5"/>
      <c r="I21" s="5"/>
      <c r="J21" s="5"/>
      <c r="K21" s="5"/>
      <c r="L21" s="6"/>
      <c r="M21" s="5"/>
      <c r="N21" s="5"/>
      <c r="O21" s="5"/>
      <c r="P21" s="5"/>
      <c r="Q21" s="6"/>
      <c r="R21" s="5"/>
      <c r="S21" s="5"/>
      <c r="T21" s="5"/>
      <c r="U21" s="5"/>
      <c r="V21" s="6"/>
      <c r="W21" s="5"/>
      <c r="X21" s="5" t="s">
        <v>42</v>
      </c>
      <c r="Y21" s="5" t="s">
        <v>42</v>
      </c>
      <c r="Z21" s="5" t="s">
        <v>42</v>
      </c>
      <c r="AA21" s="6"/>
      <c r="AB21" s="5"/>
      <c r="AC21" s="5" t="s">
        <v>42</v>
      </c>
      <c r="AD21" s="5" t="s">
        <v>42</v>
      </c>
      <c r="AE21" s="5" t="s">
        <v>42</v>
      </c>
      <c r="AF21" s="6"/>
      <c r="AG21" s="5"/>
      <c r="AH21" s="5" t="s">
        <v>42</v>
      </c>
      <c r="AI21" s="5" t="s">
        <v>42</v>
      </c>
      <c r="AJ21" s="5" t="s">
        <v>42</v>
      </c>
      <c r="AK21" s="6"/>
    </row>
    <row r="22" spans="1:37" x14ac:dyDescent="0.25">
      <c r="A22" s="93">
        <f>VLOOKUP(Import_GoogleForm!$B22,Administratif!$A$3:$C$100,3,FALSE)</f>
        <v>3</v>
      </c>
      <c r="B22" s="94" t="s">
        <v>6</v>
      </c>
      <c r="C22" s="90"/>
      <c r="D22" s="5"/>
      <c r="E22" s="5"/>
      <c r="F22" s="5"/>
      <c r="G22" s="6"/>
      <c r="H22" s="5"/>
      <c r="I22" s="5"/>
      <c r="J22" s="5"/>
      <c r="K22" s="5"/>
      <c r="L22" s="6"/>
      <c r="M22" s="5"/>
      <c r="N22" s="5"/>
      <c r="O22" s="5"/>
      <c r="P22" s="5"/>
      <c r="Q22" s="6"/>
      <c r="R22" s="5"/>
      <c r="S22" s="5"/>
      <c r="T22" s="5"/>
      <c r="U22" s="5"/>
      <c r="V22" s="6"/>
      <c r="W22" s="5"/>
      <c r="X22" s="5"/>
      <c r="Y22" s="5"/>
      <c r="Z22" s="5" t="s">
        <v>42</v>
      </c>
      <c r="AA22" s="6"/>
      <c r="AB22" s="5"/>
      <c r="AC22" s="5"/>
      <c r="AD22" s="5"/>
      <c r="AE22" s="5"/>
      <c r="AF22" s="6"/>
      <c r="AG22" s="5"/>
      <c r="AH22" s="5"/>
      <c r="AI22" s="5"/>
      <c r="AJ22" s="5"/>
      <c r="AK22" s="6"/>
    </row>
    <row r="23" spans="1:37" x14ac:dyDescent="0.25">
      <c r="A23" s="93">
        <f>VLOOKUP(Import_GoogleForm!$B23,Administratif!$A$3:$C$100,3,FALSE)</f>
        <v>2</v>
      </c>
      <c r="B23" s="94" t="s">
        <v>8</v>
      </c>
      <c r="C23" s="90" t="s">
        <v>42</v>
      </c>
      <c r="D23" s="5" t="s">
        <v>42</v>
      </c>
      <c r="E23" s="5" t="s">
        <v>43</v>
      </c>
      <c r="F23" s="5" t="s">
        <v>43</v>
      </c>
      <c r="G23" s="6" t="s">
        <v>43</v>
      </c>
      <c r="H23" s="5" t="s">
        <v>42</v>
      </c>
      <c r="I23" s="5" t="s">
        <v>42</v>
      </c>
      <c r="J23" s="5" t="s">
        <v>43</v>
      </c>
      <c r="K23" s="5" t="s">
        <v>43</v>
      </c>
      <c r="L23" s="6" t="s">
        <v>43</v>
      </c>
      <c r="M23" s="5"/>
      <c r="N23" s="5"/>
      <c r="O23" s="5"/>
      <c r="P23" s="5" t="s">
        <v>42</v>
      </c>
      <c r="Q23" s="6" t="s">
        <v>42</v>
      </c>
      <c r="R23" s="5" t="s">
        <v>42</v>
      </c>
      <c r="S23" s="5" t="s">
        <v>42</v>
      </c>
      <c r="T23" s="5" t="s">
        <v>42</v>
      </c>
      <c r="U23" s="5" t="s">
        <v>42</v>
      </c>
      <c r="V23" s="6" t="s">
        <v>42</v>
      </c>
      <c r="W23" s="5" t="s">
        <v>42</v>
      </c>
      <c r="X23" s="5"/>
      <c r="Y23" s="5"/>
      <c r="Z23" s="5" t="s">
        <v>43</v>
      </c>
      <c r="AA23" s="6" t="s">
        <v>42</v>
      </c>
      <c r="AB23" s="5" t="s">
        <v>43</v>
      </c>
      <c r="AC23" s="5"/>
      <c r="AD23" s="5"/>
      <c r="AE23" s="5" t="s">
        <v>43</v>
      </c>
      <c r="AF23" s="6" t="s">
        <v>43</v>
      </c>
      <c r="AG23" s="5"/>
      <c r="AH23" s="5"/>
      <c r="AI23" s="5"/>
      <c r="AJ23" s="5" t="s">
        <v>43</v>
      </c>
      <c r="AK23" s="6" t="s">
        <v>42</v>
      </c>
    </row>
    <row r="24" spans="1:37" x14ac:dyDescent="0.25">
      <c r="A24" s="93">
        <f>VLOOKUP(Import_GoogleForm!$B24,Administratif!$A$3:$C$100,3,FALSE)</f>
        <v>2</v>
      </c>
      <c r="B24" s="94" t="s">
        <v>48</v>
      </c>
      <c r="C24" s="90"/>
      <c r="D24" s="5"/>
      <c r="E24" s="5"/>
      <c r="F24" s="5"/>
      <c r="G24" s="6"/>
      <c r="H24" s="5"/>
      <c r="I24" s="5"/>
      <c r="J24" s="5"/>
      <c r="K24" s="5"/>
      <c r="L24" s="6"/>
      <c r="M24" s="5"/>
      <c r="N24" s="5"/>
      <c r="O24" s="5"/>
      <c r="P24" s="5"/>
      <c r="Q24" s="6"/>
      <c r="R24" s="5"/>
      <c r="S24" s="5"/>
      <c r="T24" s="5"/>
      <c r="U24" s="5" t="s">
        <v>42</v>
      </c>
      <c r="V24" s="6"/>
      <c r="W24" s="5"/>
      <c r="X24" s="5"/>
      <c r="Y24" s="5"/>
      <c r="Z24" s="5" t="s">
        <v>43</v>
      </c>
      <c r="AA24" s="6"/>
      <c r="AB24" s="5"/>
      <c r="AC24" s="5" t="s">
        <v>42</v>
      </c>
      <c r="AD24" s="5" t="s">
        <v>42</v>
      </c>
      <c r="AE24" s="5"/>
      <c r="AF24" s="6"/>
      <c r="AG24" s="5"/>
      <c r="AH24" s="5" t="s">
        <v>42</v>
      </c>
      <c r="AI24" s="5" t="s">
        <v>42</v>
      </c>
      <c r="AJ24" s="5"/>
      <c r="AK24" s="6"/>
    </row>
    <row r="25" spans="1:37" x14ac:dyDescent="0.25">
      <c r="A25" s="93">
        <f>VLOOKUP(Import_GoogleForm!$B25,Administratif!$A$3:$C$100,3,FALSE)</f>
        <v>4</v>
      </c>
      <c r="B25" s="94" t="s">
        <v>20</v>
      </c>
      <c r="C25" s="90"/>
      <c r="D25" s="5"/>
      <c r="E25" s="5"/>
      <c r="F25" s="5"/>
      <c r="G25" s="6"/>
      <c r="H25" s="5"/>
      <c r="I25" s="5"/>
      <c r="J25" s="5"/>
      <c r="K25" s="5"/>
      <c r="L25" s="6"/>
      <c r="M25" s="5"/>
      <c r="N25" s="5"/>
      <c r="O25" s="5"/>
      <c r="P25" s="5"/>
      <c r="Q25" s="6"/>
      <c r="R25" s="5"/>
      <c r="S25" s="5"/>
      <c r="T25" s="5"/>
      <c r="U25" s="5"/>
      <c r="V25" s="6"/>
      <c r="W25" s="5"/>
      <c r="X25" s="5"/>
      <c r="Y25" s="5"/>
      <c r="Z25" s="5"/>
      <c r="AA25" s="6"/>
      <c r="AB25" s="5"/>
      <c r="AC25" s="5"/>
      <c r="AD25" s="5"/>
      <c r="AE25" s="5"/>
      <c r="AF25" s="6"/>
      <c r="AG25" s="5"/>
      <c r="AH25" s="5" t="s">
        <v>42</v>
      </c>
      <c r="AI25" s="5" t="s">
        <v>42</v>
      </c>
      <c r="AJ25" s="5"/>
      <c r="AK25" s="6"/>
    </row>
    <row r="26" spans="1:37" x14ac:dyDescent="0.25">
      <c r="A26" s="93">
        <f>VLOOKUP(Import_GoogleForm!$B26,Administratif!$A$3:$C$100,3,FALSE)</f>
        <v>3</v>
      </c>
      <c r="B26" s="94" t="s">
        <v>49</v>
      </c>
      <c r="C26" s="90"/>
      <c r="D26" s="5"/>
      <c r="E26" s="5"/>
      <c r="F26" s="5"/>
      <c r="G26" s="6"/>
      <c r="H26" s="5"/>
      <c r="I26" s="5"/>
      <c r="J26" s="5"/>
      <c r="K26" s="5"/>
      <c r="L26" s="6"/>
      <c r="M26" s="5"/>
      <c r="N26" s="5"/>
      <c r="O26" s="5"/>
      <c r="P26" s="5"/>
      <c r="Q26" s="6"/>
      <c r="R26" s="5"/>
      <c r="S26" s="5"/>
      <c r="T26" s="5"/>
      <c r="U26" s="5" t="s">
        <v>42</v>
      </c>
      <c r="V26" s="6"/>
      <c r="W26" s="5"/>
      <c r="X26" s="5"/>
      <c r="Y26" s="5"/>
      <c r="Z26" s="5"/>
      <c r="AA26" s="6"/>
      <c r="AB26" s="5"/>
      <c r="AC26" s="5"/>
      <c r="AD26" s="5"/>
      <c r="AE26" s="5"/>
      <c r="AF26" s="6"/>
      <c r="AG26" s="5"/>
      <c r="AH26" s="5"/>
      <c r="AI26" s="5"/>
      <c r="AJ26" s="5"/>
      <c r="AK26" s="6"/>
    </row>
    <row r="27" spans="1:37" ht="15.75" thickBot="1" x14ac:dyDescent="0.3">
      <c r="A27" s="95">
        <f>VLOOKUP(Import_GoogleForm!$B27,Administratif!$A$3:$C$100,3,FALSE)</f>
        <v>4</v>
      </c>
      <c r="B27" s="96" t="s">
        <v>22</v>
      </c>
      <c r="C27" s="90"/>
      <c r="D27" s="5" t="s">
        <v>42</v>
      </c>
      <c r="E27" s="5" t="s">
        <v>42</v>
      </c>
      <c r="F27" s="5"/>
      <c r="G27" s="6"/>
      <c r="H27" s="5"/>
      <c r="I27" s="5"/>
      <c r="J27" s="5"/>
      <c r="K27" s="5"/>
      <c r="L27" s="6"/>
      <c r="M27" s="5"/>
      <c r="N27" s="5"/>
      <c r="O27" s="5"/>
      <c r="P27" s="5"/>
      <c r="Q27" s="6"/>
      <c r="R27" s="5"/>
      <c r="S27" s="5"/>
      <c r="T27" s="5"/>
      <c r="U27" s="5"/>
      <c r="V27" s="6"/>
      <c r="W27" s="5"/>
      <c r="X27" s="5"/>
      <c r="Y27" s="5"/>
      <c r="Z27" s="5"/>
      <c r="AA27" s="6"/>
      <c r="AB27" s="5"/>
      <c r="AC27" s="5"/>
      <c r="AD27" s="5"/>
      <c r="AE27" s="5"/>
      <c r="AF27" s="6"/>
      <c r="AG27" s="5"/>
      <c r="AH27" s="5"/>
      <c r="AI27" s="5"/>
      <c r="AJ27" s="5"/>
      <c r="AK27" s="6"/>
    </row>
    <row r="30" spans="1:37" x14ac:dyDescent="0.25">
      <c r="B30" s="86"/>
    </row>
    <row r="31" spans="1:37" x14ac:dyDescent="0.25">
      <c r="B31" s="86"/>
    </row>
    <row r="32" spans="1:37" x14ac:dyDescent="0.25">
      <c r="B32" s="86"/>
    </row>
    <row r="33" spans="2:2" x14ac:dyDescent="0.25">
      <c r="B33" s="84"/>
    </row>
    <row r="34" spans="2:2" x14ac:dyDescent="0.25">
      <c r="B34" s="85"/>
    </row>
    <row r="35" spans="2:2" x14ac:dyDescent="0.25">
      <c r="B35" s="85"/>
    </row>
    <row r="36" spans="2:2" x14ac:dyDescent="0.25">
      <c r="B36" s="85"/>
    </row>
    <row r="37" spans="2:2" x14ac:dyDescent="0.25">
      <c r="B37" s="85"/>
    </row>
    <row r="38" spans="2:2" x14ac:dyDescent="0.25">
      <c r="B38" s="85"/>
    </row>
    <row r="39" spans="2:2" x14ac:dyDescent="0.25">
      <c r="B39" s="85"/>
    </row>
    <row r="40" spans="2:2" x14ac:dyDescent="0.25">
      <c r="B40" s="85"/>
    </row>
    <row r="41" spans="2:2" x14ac:dyDescent="0.25">
      <c r="B41" s="85"/>
    </row>
    <row r="42" spans="2:2" x14ac:dyDescent="0.25">
      <c r="B42" s="85"/>
    </row>
    <row r="43" spans="2:2" x14ac:dyDescent="0.25">
      <c r="B43" s="85"/>
    </row>
    <row r="44" spans="2:2" x14ac:dyDescent="0.25">
      <c r="B44" s="85"/>
    </row>
    <row r="45" spans="2:2" x14ac:dyDescent="0.25">
      <c r="B45" s="85"/>
    </row>
    <row r="46" spans="2:2" x14ac:dyDescent="0.25">
      <c r="B46" s="85"/>
    </row>
    <row r="47" spans="2:2" x14ac:dyDescent="0.25">
      <c r="B47" s="85"/>
    </row>
    <row r="48" spans="2:2" x14ac:dyDescent="0.25">
      <c r="B48" s="85"/>
    </row>
    <row r="49" spans="2:2" x14ac:dyDescent="0.25">
      <c r="B49" s="85"/>
    </row>
    <row r="50" spans="2:2" x14ac:dyDescent="0.25">
      <c r="B50" s="85"/>
    </row>
    <row r="51" spans="2:2" x14ac:dyDescent="0.25">
      <c r="B51" s="85"/>
    </row>
    <row r="52" spans="2:2" x14ac:dyDescent="0.25">
      <c r="B52" s="85"/>
    </row>
    <row r="53" spans="2:2" x14ac:dyDescent="0.25">
      <c r="B53" s="85"/>
    </row>
  </sheetData>
  <mergeCells count="12">
    <mergeCell ref="R4:V4"/>
    <mergeCell ref="W4:AA4"/>
    <mergeCell ref="AB4:AF4"/>
    <mergeCell ref="AG4:AK4"/>
    <mergeCell ref="H3:K3"/>
    <mergeCell ref="L3:R3"/>
    <mergeCell ref="S3:Z3"/>
    <mergeCell ref="A4:A6"/>
    <mergeCell ref="C4:G4"/>
    <mergeCell ref="H4:L4"/>
    <mergeCell ref="M4:Q4"/>
    <mergeCell ref="B4:B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"/>
  <sheetViews>
    <sheetView workbookViewId="0">
      <selection activeCell="I10" sqref="I10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4"/>
  <dimension ref="B16:AA42"/>
  <sheetViews>
    <sheetView workbookViewId="0">
      <selection activeCell="T16" sqref="T16:AA16"/>
    </sheetView>
  </sheetViews>
  <sheetFormatPr baseColWidth="10" defaultRowHeight="15" x14ac:dyDescent="0.25"/>
  <cols>
    <col min="2" max="2" width="21.7109375" customWidth="1"/>
    <col min="11" max="11" width="21.7109375" customWidth="1"/>
    <col min="20" max="20" width="21.7109375" customWidth="1"/>
  </cols>
  <sheetData>
    <row r="16" spans="2:27" x14ac:dyDescent="0.25">
      <c r="B16" s="114" t="s">
        <v>97</v>
      </c>
      <c r="C16" s="114"/>
      <c r="D16" s="114"/>
      <c r="E16" s="114"/>
      <c r="F16" s="114"/>
      <c r="G16" s="114"/>
      <c r="H16" s="114"/>
      <c r="I16" s="114"/>
      <c r="K16" s="114" t="s">
        <v>104</v>
      </c>
      <c r="L16" s="114"/>
      <c r="M16" s="114"/>
      <c r="N16" s="114"/>
      <c r="O16" s="114"/>
      <c r="P16" s="114"/>
      <c r="Q16" s="114"/>
      <c r="R16" s="114"/>
      <c r="T16" s="114" t="s">
        <v>105</v>
      </c>
      <c r="U16" s="114"/>
      <c r="V16" s="114"/>
      <c r="W16" s="114"/>
      <c r="X16" s="114"/>
      <c r="Y16" s="114"/>
      <c r="Z16" s="114"/>
      <c r="AA16" s="114"/>
    </row>
    <row r="17" spans="2:27" x14ac:dyDescent="0.25">
      <c r="B17" s="114" t="s">
        <v>98</v>
      </c>
      <c r="C17" s="114" t="s">
        <v>100</v>
      </c>
      <c r="D17" s="114"/>
      <c r="E17" s="114" t="s">
        <v>103</v>
      </c>
      <c r="F17" s="114"/>
      <c r="G17" s="114"/>
      <c r="H17" s="114"/>
      <c r="I17" s="114"/>
      <c r="K17" s="114" t="s">
        <v>98</v>
      </c>
      <c r="L17" s="114" t="s">
        <v>100</v>
      </c>
      <c r="M17" s="114"/>
      <c r="N17" s="114" t="s">
        <v>103</v>
      </c>
      <c r="O17" s="114"/>
      <c r="P17" s="114"/>
      <c r="Q17" s="114"/>
      <c r="R17" s="114"/>
      <c r="T17" s="114" t="s">
        <v>98</v>
      </c>
      <c r="U17" s="114" t="s">
        <v>100</v>
      </c>
      <c r="V17" s="114"/>
      <c r="W17" s="114" t="s">
        <v>103</v>
      </c>
      <c r="X17" s="114"/>
      <c r="Y17" s="114"/>
      <c r="Z17" s="114"/>
      <c r="AA17" s="114"/>
    </row>
    <row r="18" spans="2:27" x14ac:dyDescent="0.25">
      <c r="B18" s="114"/>
      <c r="C18" s="98" t="s">
        <v>102</v>
      </c>
      <c r="D18" s="98" t="s">
        <v>101</v>
      </c>
      <c r="E18" s="98" t="s">
        <v>51</v>
      </c>
      <c r="F18" s="98" t="s">
        <v>52</v>
      </c>
      <c r="G18" s="98" t="s">
        <v>53</v>
      </c>
      <c r="H18" s="98" t="s">
        <v>54</v>
      </c>
      <c r="I18" s="98" t="s">
        <v>55</v>
      </c>
      <c r="K18" s="114"/>
      <c r="L18" s="98" t="s">
        <v>102</v>
      </c>
      <c r="M18" s="98" t="s">
        <v>101</v>
      </c>
      <c r="N18" s="98" t="s">
        <v>51</v>
      </c>
      <c r="O18" s="98" t="s">
        <v>52</v>
      </c>
      <c r="P18" s="98" t="s">
        <v>53</v>
      </c>
      <c r="Q18" s="98" t="s">
        <v>54</v>
      </c>
      <c r="R18" s="98" t="s">
        <v>55</v>
      </c>
      <c r="T18" s="114"/>
      <c r="U18" s="98" t="s">
        <v>102</v>
      </c>
      <c r="V18" s="98" t="s">
        <v>101</v>
      </c>
      <c r="W18" s="98" t="s">
        <v>51</v>
      </c>
      <c r="X18" s="98" t="s">
        <v>52</v>
      </c>
      <c r="Y18" s="98" t="s">
        <v>53</v>
      </c>
      <c r="Z18" s="98" t="s">
        <v>54</v>
      </c>
      <c r="AA18" s="98" t="s">
        <v>55</v>
      </c>
    </row>
    <row r="19" spans="2:27" x14ac:dyDescent="0.25">
      <c r="B19" s="114"/>
      <c r="C19" s="114" t="s">
        <v>99</v>
      </c>
      <c r="D19" s="114"/>
      <c r="E19" s="98" t="s">
        <v>52</v>
      </c>
      <c r="F19" s="98" t="s">
        <v>53</v>
      </c>
      <c r="G19" s="98" t="s">
        <v>54</v>
      </c>
      <c r="H19" s="98" t="s">
        <v>55</v>
      </c>
      <c r="I19" s="98" t="s">
        <v>51</v>
      </c>
      <c r="K19" s="114"/>
      <c r="L19" s="114" t="s">
        <v>99</v>
      </c>
      <c r="M19" s="114"/>
      <c r="N19" s="98" t="s">
        <v>52</v>
      </c>
      <c r="O19" s="98" t="s">
        <v>53</v>
      </c>
      <c r="P19" s="98" t="s">
        <v>54</v>
      </c>
      <c r="Q19" s="98" t="s">
        <v>55</v>
      </c>
      <c r="R19" s="98" t="s">
        <v>51</v>
      </c>
      <c r="T19" s="114"/>
      <c r="U19" s="114" t="s">
        <v>99</v>
      </c>
      <c r="V19" s="114"/>
      <c r="W19" s="98" t="s">
        <v>52</v>
      </c>
      <c r="X19" s="98" t="s">
        <v>53</v>
      </c>
      <c r="Y19" s="98" t="s">
        <v>54</v>
      </c>
      <c r="Z19" s="98" t="s">
        <v>55</v>
      </c>
      <c r="AA19" s="98" t="s">
        <v>51</v>
      </c>
    </row>
    <row r="20" spans="2:27" x14ac:dyDescent="0.25">
      <c r="B20" s="97"/>
      <c r="C20" s="97"/>
      <c r="D20" s="97"/>
      <c r="E20" s="97"/>
      <c r="F20" s="97"/>
      <c r="G20" s="97"/>
      <c r="H20" s="97"/>
      <c r="I20" s="97"/>
      <c r="K20" s="97"/>
      <c r="L20" s="97"/>
      <c r="M20" s="97"/>
      <c r="N20" s="97"/>
      <c r="O20" s="97"/>
      <c r="P20" s="97"/>
      <c r="Q20" s="97"/>
      <c r="R20" s="97"/>
      <c r="T20" s="97"/>
      <c r="U20" s="97"/>
      <c r="V20" s="97"/>
      <c r="W20" s="97"/>
      <c r="X20" s="97"/>
      <c r="Y20" s="97"/>
      <c r="Z20" s="97"/>
      <c r="AA20" s="97"/>
    </row>
    <row r="21" spans="2:27" x14ac:dyDescent="0.25">
      <c r="B21" s="97"/>
      <c r="C21" s="97"/>
      <c r="D21" s="97"/>
      <c r="E21" s="97"/>
      <c r="F21" s="97"/>
      <c r="G21" s="97"/>
      <c r="H21" s="97"/>
      <c r="I21" s="97"/>
      <c r="K21" s="97"/>
      <c r="L21" s="97"/>
      <c r="M21" s="97"/>
      <c r="N21" s="97"/>
      <c r="O21" s="97"/>
      <c r="P21" s="97"/>
      <c r="Q21" s="97"/>
      <c r="R21" s="97"/>
      <c r="T21" s="97"/>
      <c r="U21" s="97"/>
      <c r="V21" s="97"/>
      <c r="W21" s="97"/>
      <c r="X21" s="97"/>
      <c r="Y21" s="97"/>
      <c r="Z21" s="97"/>
      <c r="AA21" s="97"/>
    </row>
    <row r="22" spans="2:27" x14ac:dyDescent="0.25">
      <c r="B22" s="97"/>
      <c r="C22" s="97"/>
      <c r="D22" s="97"/>
      <c r="E22" s="97"/>
      <c r="F22" s="97"/>
      <c r="G22" s="97"/>
      <c r="H22" s="97"/>
      <c r="I22" s="97"/>
      <c r="K22" s="97"/>
      <c r="L22" s="97"/>
      <c r="M22" s="97"/>
      <c r="N22" s="97"/>
      <c r="O22" s="97"/>
      <c r="P22" s="97"/>
      <c r="Q22" s="97"/>
      <c r="R22" s="97"/>
      <c r="T22" s="97"/>
      <c r="U22" s="97"/>
      <c r="V22" s="97"/>
      <c r="W22" s="97"/>
      <c r="X22" s="97"/>
      <c r="Y22" s="97"/>
      <c r="Z22" s="97"/>
      <c r="AA22" s="97"/>
    </row>
    <row r="23" spans="2:27" x14ac:dyDescent="0.25">
      <c r="B23" s="97"/>
      <c r="C23" s="97"/>
      <c r="D23" s="97"/>
      <c r="E23" s="97"/>
      <c r="F23" s="97"/>
      <c r="G23" s="97"/>
      <c r="H23" s="97"/>
      <c r="I23" s="97"/>
      <c r="K23" s="97"/>
      <c r="L23" s="97"/>
      <c r="M23" s="97"/>
      <c r="N23" s="97"/>
      <c r="O23" s="97"/>
      <c r="P23" s="97"/>
      <c r="Q23" s="97"/>
      <c r="R23" s="97"/>
      <c r="T23" s="97"/>
      <c r="U23" s="97"/>
      <c r="V23" s="97"/>
      <c r="W23" s="97"/>
      <c r="X23" s="97"/>
      <c r="Y23" s="97"/>
      <c r="Z23" s="97"/>
      <c r="AA23" s="97"/>
    </row>
    <row r="24" spans="2:27" x14ac:dyDescent="0.25">
      <c r="B24" s="97"/>
      <c r="C24" s="97"/>
      <c r="D24" s="97"/>
      <c r="E24" s="97"/>
      <c r="F24" s="97"/>
      <c r="G24" s="97"/>
      <c r="H24" s="97"/>
      <c r="I24" s="97"/>
      <c r="K24" s="97"/>
      <c r="L24" s="97"/>
      <c r="M24" s="97"/>
      <c r="N24" s="97"/>
      <c r="O24" s="97"/>
      <c r="P24" s="97"/>
      <c r="Q24" s="97"/>
      <c r="R24" s="97"/>
      <c r="T24" s="97"/>
      <c r="U24" s="97"/>
      <c r="V24" s="97"/>
      <c r="W24" s="97"/>
      <c r="X24" s="97"/>
      <c r="Y24" s="97"/>
      <c r="Z24" s="97"/>
      <c r="AA24" s="97"/>
    </row>
    <row r="25" spans="2:27" x14ac:dyDescent="0.25">
      <c r="B25" s="97"/>
      <c r="C25" s="97"/>
      <c r="D25" s="97"/>
      <c r="E25" s="97"/>
      <c r="F25" s="97"/>
      <c r="G25" s="97"/>
      <c r="H25" s="97"/>
      <c r="I25" s="97"/>
      <c r="K25" s="97"/>
      <c r="L25" s="97"/>
      <c r="M25" s="97"/>
      <c r="N25" s="97"/>
      <c r="O25" s="97"/>
      <c r="P25" s="97"/>
      <c r="Q25" s="97"/>
      <c r="R25" s="97"/>
      <c r="T25" s="97"/>
      <c r="U25" s="97"/>
      <c r="V25" s="97"/>
      <c r="W25" s="97"/>
      <c r="X25" s="97"/>
      <c r="Y25" s="97"/>
      <c r="Z25" s="97"/>
      <c r="AA25" s="97"/>
    </row>
    <row r="26" spans="2:27" x14ac:dyDescent="0.25">
      <c r="B26" s="97"/>
      <c r="C26" s="97"/>
      <c r="D26" s="97"/>
      <c r="E26" s="97"/>
      <c r="F26" s="97"/>
      <c r="G26" s="97"/>
      <c r="H26" s="97"/>
      <c r="I26" s="97"/>
      <c r="K26" s="97"/>
      <c r="L26" s="97"/>
      <c r="M26" s="97"/>
      <c r="N26" s="97"/>
      <c r="O26" s="97"/>
      <c r="P26" s="97"/>
      <c r="Q26" s="97"/>
      <c r="R26" s="97"/>
      <c r="T26" s="97"/>
      <c r="U26" s="97"/>
      <c r="V26" s="97"/>
      <c r="W26" s="97"/>
      <c r="X26" s="97"/>
      <c r="Y26" s="97"/>
      <c r="Z26" s="97"/>
      <c r="AA26" s="97"/>
    </row>
    <row r="27" spans="2:27" x14ac:dyDescent="0.25">
      <c r="B27" s="97"/>
      <c r="C27" s="97"/>
      <c r="D27" s="97"/>
      <c r="E27" s="97"/>
      <c r="F27" s="97"/>
      <c r="G27" s="97"/>
      <c r="H27" s="97"/>
      <c r="I27" s="97"/>
      <c r="K27" s="97"/>
      <c r="L27" s="97"/>
      <c r="M27" s="97"/>
      <c r="N27" s="97"/>
      <c r="O27" s="97"/>
      <c r="P27" s="97"/>
      <c r="Q27" s="97"/>
      <c r="R27" s="97"/>
      <c r="T27" s="97"/>
      <c r="U27" s="97"/>
      <c r="V27" s="97"/>
      <c r="W27" s="97"/>
      <c r="X27" s="97"/>
      <c r="Y27" s="97"/>
      <c r="Z27" s="97"/>
      <c r="AA27" s="97"/>
    </row>
    <row r="28" spans="2:27" x14ac:dyDescent="0.25">
      <c r="B28" s="97"/>
      <c r="C28" s="97"/>
      <c r="D28" s="97"/>
      <c r="E28" s="97"/>
      <c r="F28" s="97"/>
      <c r="G28" s="97"/>
      <c r="H28" s="97"/>
      <c r="I28" s="97"/>
      <c r="K28" s="97"/>
      <c r="L28" s="97"/>
      <c r="M28" s="97"/>
      <c r="N28" s="97"/>
      <c r="O28" s="97"/>
      <c r="P28" s="97"/>
      <c r="Q28" s="97"/>
      <c r="R28" s="97"/>
      <c r="T28" s="97"/>
      <c r="U28" s="97"/>
      <c r="V28" s="97"/>
      <c r="W28" s="97"/>
      <c r="X28" s="97"/>
      <c r="Y28" s="97"/>
      <c r="Z28" s="97"/>
      <c r="AA28" s="97"/>
    </row>
    <row r="29" spans="2:27" x14ac:dyDescent="0.25">
      <c r="B29" s="97"/>
      <c r="C29" s="97"/>
      <c r="D29" s="97"/>
      <c r="E29" s="97"/>
      <c r="F29" s="97"/>
      <c r="G29" s="97"/>
      <c r="H29" s="97"/>
      <c r="I29" s="97"/>
      <c r="K29" s="97"/>
      <c r="L29" s="97"/>
      <c r="M29" s="97"/>
      <c r="N29" s="97"/>
      <c r="O29" s="97"/>
      <c r="P29" s="97"/>
      <c r="Q29" s="97"/>
      <c r="R29" s="97"/>
      <c r="T29" s="97"/>
      <c r="U29" s="97"/>
      <c r="V29" s="97"/>
      <c r="W29" s="97"/>
      <c r="X29" s="97"/>
      <c r="Y29" s="97"/>
      <c r="Z29" s="97"/>
      <c r="AA29" s="97"/>
    </row>
    <row r="30" spans="2:27" x14ac:dyDescent="0.25">
      <c r="B30" s="97"/>
      <c r="C30" s="97"/>
      <c r="D30" s="97"/>
      <c r="E30" s="97"/>
      <c r="F30" s="97"/>
      <c r="G30" s="97"/>
      <c r="H30" s="97"/>
      <c r="I30" s="97"/>
      <c r="K30" s="97"/>
      <c r="L30" s="97"/>
      <c r="M30" s="97"/>
      <c r="N30" s="97"/>
      <c r="O30" s="97"/>
      <c r="P30" s="97"/>
      <c r="Q30" s="97"/>
      <c r="R30" s="97"/>
      <c r="T30" s="97"/>
      <c r="U30" s="97"/>
      <c r="V30" s="97"/>
      <c r="W30" s="97"/>
      <c r="X30" s="97"/>
      <c r="Y30" s="97"/>
      <c r="Z30" s="97"/>
      <c r="AA30" s="97"/>
    </row>
    <row r="31" spans="2:27" x14ac:dyDescent="0.25">
      <c r="B31" s="97"/>
      <c r="C31" s="97"/>
      <c r="D31" s="97"/>
      <c r="E31" s="97"/>
      <c r="F31" s="97"/>
      <c r="G31" s="97"/>
      <c r="H31" s="97"/>
      <c r="I31" s="97"/>
      <c r="K31" s="97"/>
      <c r="L31" s="97"/>
      <c r="M31" s="97"/>
      <c r="N31" s="97"/>
      <c r="O31" s="97"/>
      <c r="P31" s="97"/>
      <c r="Q31" s="97"/>
      <c r="R31" s="97"/>
      <c r="T31" s="97"/>
      <c r="U31" s="97"/>
      <c r="V31" s="97"/>
      <c r="W31" s="97"/>
      <c r="X31" s="97"/>
      <c r="Y31" s="97"/>
      <c r="Z31" s="97"/>
      <c r="AA31" s="97"/>
    </row>
    <row r="32" spans="2:27" x14ac:dyDescent="0.25">
      <c r="B32" s="97"/>
      <c r="C32" s="97"/>
      <c r="D32" s="97"/>
      <c r="E32" s="97"/>
      <c r="F32" s="97"/>
      <c r="G32" s="97"/>
      <c r="H32" s="97"/>
      <c r="I32" s="97"/>
      <c r="K32" s="97"/>
      <c r="L32" s="97"/>
      <c r="M32" s="97"/>
      <c r="N32" s="97"/>
      <c r="O32" s="97"/>
      <c r="P32" s="97"/>
      <c r="Q32" s="97"/>
      <c r="R32" s="97"/>
      <c r="T32" s="97"/>
      <c r="U32" s="97"/>
      <c r="V32" s="97"/>
      <c r="W32" s="97"/>
      <c r="X32" s="97"/>
      <c r="Y32" s="97"/>
      <c r="Z32" s="97"/>
      <c r="AA32" s="97"/>
    </row>
    <row r="33" spans="2:27" x14ac:dyDescent="0.25">
      <c r="B33" s="97"/>
      <c r="C33" s="97"/>
      <c r="D33" s="97"/>
      <c r="E33" s="97"/>
      <c r="F33" s="97"/>
      <c r="G33" s="97"/>
      <c r="H33" s="97"/>
      <c r="I33" s="97"/>
      <c r="K33" s="97"/>
      <c r="L33" s="97"/>
      <c r="M33" s="97"/>
      <c r="N33" s="97"/>
      <c r="O33" s="97"/>
      <c r="P33" s="97"/>
      <c r="Q33" s="97"/>
      <c r="R33" s="97"/>
      <c r="T33" s="97"/>
      <c r="U33" s="97"/>
      <c r="V33" s="97"/>
      <c r="W33" s="97"/>
      <c r="X33" s="97"/>
      <c r="Y33" s="97"/>
      <c r="Z33" s="97"/>
      <c r="AA33" s="97"/>
    </row>
    <row r="34" spans="2:27" x14ac:dyDescent="0.25">
      <c r="B34" s="97"/>
      <c r="C34" s="97"/>
      <c r="D34" s="97"/>
      <c r="E34" s="97"/>
      <c r="F34" s="97"/>
      <c r="G34" s="97"/>
      <c r="H34" s="97"/>
      <c r="I34" s="97"/>
      <c r="K34" s="97"/>
      <c r="L34" s="97"/>
      <c r="M34" s="97"/>
      <c r="N34" s="97"/>
      <c r="O34" s="97"/>
      <c r="P34" s="97"/>
      <c r="Q34" s="97"/>
      <c r="R34" s="97"/>
      <c r="T34" s="97"/>
      <c r="U34" s="97"/>
      <c r="V34" s="97"/>
      <c r="W34" s="97"/>
      <c r="X34" s="97"/>
      <c r="Y34" s="97"/>
      <c r="Z34" s="97"/>
      <c r="AA34" s="97"/>
    </row>
    <row r="35" spans="2:27" x14ac:dyDescent="0.25">
      <c r="B35" s="97"/>
      <c r="C35" s="97"/>
      <c r="D35" s="97"/>
      <c r="E35" s="97"/>
      <c r="F35" s="97"/>
      <c r="G35" s="97"/>
      <c r="H35" s="97"/>
      <c r="I35" s="97"/>
      <c r="K35" s="97"/>
      <c r="L35" s="97"/>
      <c r="M35" s="97"/>
      <c r="N35" s="97"/>
      <c r="O35" s="97"/>
      <c r="P35" s="97"/>
      <c r="Q35" s="97"/>
      <c r="R35" s="97"/>
      <c r="T35" s="97"/>
      <c r="U35" s="97"/>
      <c r="V35" s="97"/>
      <c r="W35" s="97"/>
      <c r="X35" s="97"/>
      <c r="Y35" s="97"/>
      <c r="Z35" s="97"/>
      <c r="AA35" s="97"/>
    </row>
    <row r="36" spans="2:27" x14ac:dyDescent="0.25">
      <c r="B36" s="97"/>
      <c r="C36" s="97"/>
      <c r="D36" s="97"/>
      <c r="E36" s="97"/>
      <c r="F36" s="97"/>
      <c r="G36" s="97"/>
      <c r="H36" s="97"/>
      <c r="I36" s="97"/>
      <c r="K36" s="97"/>
      <c r="L36" s="97"/>
      <c r="M36" s="97"/>
      <c r="N36" s="97"/>
      <c r="O36" s="97"/>
      <c r="P36" s="97"/>
      <c r="Q36" s="97"/>
      <c r="R36" s="97"/>
      <c r="T36" s="97"/>
      <c r="U36" s="97"/>
      <c r="V36" s="97"/>
      <c r="W36" s="97"/>
      <c r="X36" s="97"/>
      <c r="Y36" s="97"/>
      <c r="Z36" s="97"/>
      <c r="AA36" s="97"/>
    </row>
    <row r="37" spans="2:27" x14ac:dyDescent="0.25">
      <c r="B37" s="97"/>
      <c r="C37" s="97"/>
      <c r="D37" s="97"/>
      <c r="E37" s="97"/>
      <c r="F37" s="97"/>
      <c r="G37" s="97"/>
      <c r="H37" s="97"/>
      <c r="I37" s="97"/>
      <c r="K37" s="97"/>
      <c r="L37" s="97"/>
      <c r="M37" s="97"/>
      <c r="N37" s="97"/>
      <c r="O37" s="97"/>
      <c r="P37" s="97"/>
      <c r="Q37" s="97"/>
      <c r="R37" s="97"/>
      <c r="T37" s="97"/>
      <c r="U37" s="97"/>
      <c r="V37" s="97"/>
      <c r="W37" s="97"/>
      <c r="X37" s="97"/>
      <c r="Y37" s="97"/>
      <c r="Z37" s="97"/>
      <c r="AA37" s="97"/>
    </row>
    <row r="38" spans="2:27" x14ac:dyDescent="0.25">
      <c r="B38" s="97"/>
      <c r="C38" s="97"/>
      <c r="D38" s="97"/>
      <c r="E38" s="97"/>
      <c r="F38" s="97"/>
      <c r="G38" s="97"/>
      <c r="H38" s="97"/>
      <c r="I38" s="97"/>
      <c r="K38" s="97"/>
      <c r="L38" s="97"/>
      <c r="M38" s="97"/>
      <c r="N38" s="97"/>
      <c r="O38" s="97"/>
      <c r="P38" s="97"/>
      <c r="Q38" s="97"/>
      <c r="R38" s="97"/>
      <c r="T38" s="97"/>
      <c r="U38" s="97"/>
      <c r="V38" s="97"/>
      <c r="W38" s="97"/>
      <c r="X38" s="97"/>
      <c r="Y38" s="97"/>
      <c r="Z38" s="97"/>
      <c r="AA38" s="97"/>
    </row>
    <row r="39" spans="2:27" x14ac:dyDescent="0.25">
      <c r="B39" s="97"/>
      <c r="C39" s="97"/>
      <c r="D39" s="97"/>
      <c r="E39" s="97"/>
      <c r="F39" s="97"/>
      <c r="G39" s="97"/>
      <c r="H39" s="97"/>
      <c r="I39" s="97"/>
      <c r="K39" s="97"/>
      <c r="L39" s="97"/>
      <c r="M39" s="97"/>
      <c r="N39" s="97"/>
      <c r="O39" s="97"/>
      <c r="P39" s="97"/>
      <c r="Q39" s="97"/>
      <c r="R39" s="97"/>
      <c r="T39" s="97"/>
      <c r="U39" s="97"/>
      <c r="V39" s="97"/>
      <c r="W39" s="97"/>
      <c r="X39" s="97"/>
      <c r="Y39" s="97"/>
      <c r="Z39" s="97"/>
      <c r="AA39" s="97"/>
    </row>
    <row r="40" spans="2:27" x14ac:dyDescent="0.25">
      <c r="B40" s="97"/>
      <c r="C40" s="97"/>
      <c r="D40" s="97"/>
      <c r="E40" s="97"/>
      <c r="F40" s="97"/>
      <c r="G40" s="97"/>
      <c r="H40" s="97"/>
      <c r="I40" s="97"/>
      <c r="K40" s="97"/>
      <c r="L40" s="97"/>
      <c r="M40" s="97"/>
      <c r="N40" s="97"/>
      <c r="O40" s="97"/>
      <c r="P40" s="97"/>
      <c r="Q40" s="97"/>
      <c r="R40" s="97"/>
      <c r="T40" s="97"/>
      <c r="U40" s="97"/>
      <c r="V40" s="97"/>
      <c r="W40" s="97"/>
      <c r="X40" s="97"/>
      <c r="Y40" s="97"/>
      <c r="Z40" s="97"/>
      <c r="AA40" s="97"/>
    </row>
    <row r="41" spans="2:27" x14ac:dyDescent="0.25">
      <c r="B41" s="97"/>
      <c r="C41" s="97"/>
      <c r="D41" s="97"/>
      <c r="E41" s="97"/>
      <c r="F41" s="97"/>
      <c r="G41" s="97"/>
      <c r="H41" s="97"/>
      <c r="I41" s="97"/>
      <c r="K41" s="97"/>
      <c r="L41" s="97"/>
      <c r="M41" s="97"/>
      <c r="N41" s="97"/>
      <c r="O41" s="97"/>
      <c r="P41" s="97"/>
      <c r="Q41" s="97"/>
      <c r="R41" s="97"/>
      <c r="T41" s="97"/>
      <c r="U41" s="97"/>
      <c r="V41" s="97"/>
      <c r="W41" s="97"/>
      <c r="X41" s="97"/>
      <c r="Y41" s="97"/>
      <c r="Z41" s="97"/>
      <c r="AA41" s="97"/>
    </row>
    <row r="42" spans="2:27" x14ac:dyDescent="0.25">
      <c r="B42" s="97"/>
      <c r="C42" s="97"/>
      <c r="D42" s="97"/>
      <c r="E42" s="97"/>
      <c r="F42" s="97"/>
      <c r="G42" s="97"/>
      <c r="H42" s="97"/>
      <c r="I42" s="97"/>
      <c r="K42" s="97"/>
      <c r="L42" s="97"/>
      <c r="M42" s="97"/>
      <c r="N42" s="97"/>
      <c r="O42" s="97"/>
      <c r="P42" s="97"/>
      <c r="Q42" s="97"/>
      <c r="R42" s="97"/>
      <c r="T42" s="97"/>
      <c r="U42" s="97"/>
      <c r="V42" s="97"/>
      <c r="W42" s="97"/>
      <c r="X42" s="97"/>
      <c r="Y42" s="97"/>
      <c r="Z42" s="97"/>
      <c r="AA42" s="97"/>
    </row>
  </sheetData>
  <mergeCells count="15">
    <mergeCell ref="K16:R16"/>
    <mergeCell ref="K17:K19"/>
    <mergeCell ref="L17:M17"/>
    <mergeCell ref="N17:R17"/>
    <mergeCell ref="L19:M19"/>
    <mergeCell ref="T16:AA16"/>
    <mergeCell ref="T17:T19"/>
    <mergeCell ref="U17:V17"/>
    <mergeCell ref="W17:AA17"/>
    <mergeCell ref="U19:V19"/>
    <mergeCell ref="C17:D17"/>
    <mergeCell ref="C19:D19"/>
    <mergeCell ref="B17:B19"/>
    <mergeCell ref="E17:I17"/>
    <mergeCell ref="B16:I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6"/>
  <dimension ref="C1:Z56"/>
  <sheetViews>
    <sheetView workbookViewId="0">
      <selection activeCell="D50" sqref="D50"/>
    </sheetView>
  </sheetViews>
  <sheetFormatPr baseColWidth="10" defaultRowHeight="15" x14ac:dyDescent="0.25"/>
  <cols>
    <col min="3" max="3" width="2.140625" customWidth="1"/>
    <col min="4" max="25" width="12.28515625" customWidth="1"/>
    <col min="26" max="26" width="2.140625" customWidth="1"/>
  </cols>
  <sheetData>
    <row r="1" spans="3:26" x14ac:dyDescent="0.25">
      <c r="C1" s="52"/>
      <c r="D1" s="53"/>
      <c r="E1" s="53"/>
      <c r="F1" s="53"/>
      <c r="G1" s="53"/>
      <c r="H1" s="53"/>
      <c r="I1" s="118" t="s">
        <v>80</v>
      </c>
      <c r="J1" s="118"/>
      <c r="K1" s="118"/>
      <c r="L1" s="118"/>
      <c r="M1" s="118"/>
      <c r="N1" s="118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3"/>
    </row>
    <row r="2" spans="3:26" x14ac:dyDescent="0.25">
      <c r="C2" s="52"/>
      <c r="D2" s="53"/>
      <c r="E2" s="53"/>
      <c r="F2" s="53"/>
      <c r="G2" s="54"/>
      <c r="H2" s="53"/>
      <c r="I2" s="118"/>
      <c r="J2" s="118"/>
      <c r="K2" s="118"/>
      <c r="L2" s="118"/>
      <c r="M2" s="118"/>
      <c r="N2" s="118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3"/>
    </row>
    <row r="3" spans="3:26" x14ac:dyDescent="0.25">
      <c r="C3" s="52"/>
      <c r="D3" s="55"/>
      <c r="E3" s="56" t="s">
        <v>81</v>
      </c>
      <c r="F3" s="57"/>
      <c r="G3" s="54"/>
      <c r="H3" s="53"/>
      <c r="I3" s="58">
        <f>Import_GoogleForm!H3</f>
        <v>5</v>
      </c>
      <c r="J3" s="119">
        <f>Import_GoogleForm!L3</f>
        <v>43129</v>
      </c>
      <c r="K3" s="119"/>
      <c r="L3" s="120">
        <f>J3+6</f>
        <v>43135</v>
      </c>
      <c r="M3" s="120"/>
      <c r="N3" s="59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3"/>
    </row>
    <row r="4" spans="3:26" x14ac:dyDescent="0.25">
      <c r="C4" s="52"/>
      <c r="D4" s="60"/>
      <c r="E4" s="61" t="s">
        <v>82</v>
      </c>
      <c r="F4" s="62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3"/>
    </row>
    <row r="5" spans="3:26" ht="15.75" x14ac:dyDescent="0.25">
      <c r="C5" s="52"/>
      <c r="D5" s="121" t="s">
        <v>83</v>
      </c>
      <c r="E5" s="122"/>
      <c r="F5" s="122"/>
      <c r="G5" s="54"/>
      <c r="H5" s="123" t="s">
        <v>84</v>
      </c>
      <c r="I5" s="124"/>
      <c r="J5" s="124"/>
      <c r="K5" s="54"/>
      <c r="L5" s="54"/>
      <c r="M5" s="125" t="s">
        <v>85</v>
      </c>
      <c r="N5" s="122"/>
      <c r="O5" s="122"/>
      <c r="P5" s="54"/>
      <c r="Q5" s="54"/>
      <c r="R5" s="63" t="s">
        <v>86</v>
      </c>
      <c r="S5" s="63"/>
      <c r="T5" s="63"/>
      <c r="U5" s="63"/>
      <c r="V5" s="54"/>
      <c r="W5" s="54"/>
      <c r="X5" s="54"/>
      <c r="Y5" s="54"/>
      <c r="Z5" s="53"/>
    </row>
    <row r="6" spans="3:26" x14ac:dyDescent="0.25">
      <c r="C6" s="52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3"/>
    </row>
    <row r="7" spans="3:26" x14ac:dyDescent="0.25">
      <c r="C7" s="52"/>
      <c r="D7" s="115">
        <f>Import_GoogleForm!L3</f>
        <v>43129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7"/>
      <c r="Z7" s="53"/>
    </row>
    <row r="8" spans="3:26" x14ac:dyDescent="0.25">
      <c r="C8" s="52"/>
      <c r="D8" s="64" t="s">
        <v>87</v>
      </c>
      <c r="E8" s="65" t="e">
        <f t="array" ref="E8:X12">TRANSPOSE(#REF!)</f>
        <v>#REF!</v>
      </c>
      <c r="F8" s="65" t="e">
        <v>#REF!</v>
      </c>
      <c r="G8" s="65" t="e">
        <v>#REF!</v>
      </c>
      <c r="H8" s="65" t="e">
        <v>#REF!</v>
      </c>
      <c r="I8" s="65" t="e">
        <v>#REF!</v>
      </c>
      <c r="J8" s="65" t="e">
        <v>#REF!</v>
      </c>
      <c r="K8" s="65" t="e">
        <v>#REF!</v>
      </c>
      <c r="L8" s="65" t="e">
        <v>#REF!</v>
      </c>
      <c r="M8" s="65" t="e">
        <v>#REF!</v>
      </c>
      <c r="N8" s="65" t="e">
        <v>#REF!</v>
      </c>
      <c r="O8" s="65" t="e">
        <v>#REF!</v>
      </c>
      <c r="P8" s="65" t="e">
        <v>#REF!</v>
      </c>
      <c r="Q8" s="65" t="e">
        <v>#REF!</v>
      </c>
      <c r="R8" s="65" t="e">
        <v>#REF!</v>
      </c>
      <c r="S8" s="65" t="e">
        <v>#REF!</v>
      </c>
      <c r="T8" s="65" t="e">
        <v>#REF!</v>
      </c>
      <c r="U8" s="65" t="e">
        <v>#REF!</v>
      </c>
      <c r="V8" s="65" t="e">
        <v>#REF!</v>
      </c>
      <c r="W8" s="65" t="e">
        <v>#REF!</v>
      </c>
      <c r="X8" s="65" t="e">
        <v>#REF!</v>
      </c>
      <c r="Y8" s="65" t="e">
        <f>#REF!</f>
        <v>#REF!</v>
      </c>
      <c r="Z8" s="53"/>
    </row>
    <row r="9" spans="3:26" x14ac:dyDescent="0.25">
      <c r="C9" s="52"/>
      <c r="D9" s="64" t="s">
        <v>88</v>
      </c>
      <c r="E9" s="65" t="e">
        <v>#REF!</v>
      </c>
      <c r="F9" s="65" t="e">
        <v>#REF!</v>
      </c>
      <c r="G9" s="65" t="e">
        <v>#REF!</v>
      </c>
      <c r="H9" s="65" t="e">
        <v>#REF!</v>
      </c>
      <c r="I9" s="65" t="e">
        <v>#REF!</v>
      </c>
      <c r="J9" s="65" t="e">
        <v>#REF!</v>
      </c>
      <c r="K9" s="65" t="e">
        <v>#REF!</v>
      </c>
      <c r="L9" s="65" t="e">
        <v>#REF!</v>
      </c>
      <c r="M9" s="65" t="e">
        <v>#REF!</v>
      </c>
      <c r="N9" s="65" t="e">
        <v>#REF!</v>
      </c>
      <c r="O9" s="65" t="e">
        <v>#REF!</v>
      </c>
      <c r="P9" s="65" t="e">
        <v>#REF!</v>
      </c>
      <c r="Q9" s="65" t="e">
        <v>#REF!</v>
      </c>
      <c r="R9" s="65" t="e">
        <v>#REF!</v>
      </c>
      <c r="S9" s="65" t="e">
        <v>#REF!</v>
      </c>
      <c r="T9" s="65" t="e">
        <v>#REF!</v>
      </c>
      <c r="U9" s="65" t="e">
        <v>#REF!</v>
      </c>
      <c r="V9" s="65" t="e">
        <v>#REF!</v>
      </c>
      <c r="W9" s="65" t="e">
        <v>#REF!</v>
      </c>
      <c r="X9" s="65" t="e">
        <v>#REF!</v>
      </c>
      <c r="Y9" s="65" t="s">
        <v>89</v>
      </c>
      <c r="Z9" s="53"/>
    </row>
    <row r="10" spans="3:26" x14ac:dyDescent="0.25">
      <c r="C10" s="52">
        <f>'[1]06'!$E100</f>
        <v>3</v>
      </c>
      <c r="D10" s="67" t="s">
        <v>90</v>
      </c>
      <c r="E10" s="72" t="e">
        <v>#REF!</v>
      </c>
      <c r="F10" s="73" t="e">
        <v>#REF!</v>
      </c>
      <c r="G10" s="73" t="e">
        <v>#REF!</v>
      </c>
      <c r="H10" s="66" t="e">
        <v>#REF!</v>
      </c>
      <c r="I10" s="65" t="e">
        <v>#REF!</v>
      </c>
      <c r="J10" s="65" t="e">
        <v>#REF!</v>
      </c>
      <c r="K10" s="65" t="e">
        <v>#REF!</v>
      </c>
      <c r="L10" s="65" t="e">
        <v>#REF!</v>
      </c>
      <c r="M10" s="65" t="e">
        <v>#REF!</v>
      </c>
      <c r="N10" s="65" t="e">
        <v>#REF!</v>
      </c>
      <c r="O10" s="65" t="e">
        <v>#REF!</v>
      </c>
      <c r="P10" s="65" t="e">
        <v>#REF!</v>
      </c>
      <c r="Q10" s="65" t="e">
        <v>#REF!</v>
      </c>
      <c r="R10" s="65" t="e">
        <v>#REF!</v>
      </c>
      <c r="S10" s="65" t="e">
        <v>#REF!</v>
      </c>
      <c r="T10" s="65" t="e">
        <v>#REF!</v>
      </c>
      <c r="U10" s="65" t="e">
        <v>#REF!</v>
      </c>
      <c r="V10" s="65" t="e">
        <v>#REF!</v>
      </c>
      <c r="W10" s="65" t="e">
        <v>#REF!</v>
      </c>
      <c r="X10" s="65" t="e">
        <v>#REF!</v>
      </c>
      <c r="Y10" s="65" t="s">
        <v>89</v>
      </c>
      <c r="Z10" s="53"/>
    </row>
    <row r="11" spans="3:26" x14ac:dyDescent="0.25">
      <c r="C11" s="52">
        <f>'[1]06'!$F100</f>
        <v>5</v>
      </c>
      <c r="D11" s="64" t="s">
        <v>91</v>
      </c>
      <c r="E11" s="74" t="e">
        <v>#REF!</v>
      </c>
      <c r="F11" s="75" t="e">
        <v>#REF!</v>
      </c>
      <c r="G11" s="75" t="e">
        <v>#REF!</v>
      </c>
      <c r="H11" s="73" t="e">
        <v>#REF!</v>
      </c>
      <c r="I11" s="73" t="e">
        <v>#REF!</v>
      </c>
      <c r="J11" s="65" t="e">
        <v>#REF!</v>
      </c>
      <c r="K11" s="65" t="e">
        <v>#REF!</v>
      </c>
      <c r="L11" s="65" t="e">
        <v>#REF!</v>
      </c>
      <c r="M11" s="65" t="e">
        <v>#REF!</v>
      </c>
      <c r="N11" s="65" t="e">
        <v>#REF!</v>
      </c>
      <c r="O11" s="65" t="e">
        <v>#REF!</v>
      </c>
      <c r="P11" s="65" t="e">
        <v>#REF!</v>
      </c>
      <c r="Q11" s="65" t="e">
        <v>#REF!</v>
      </c>
      <c r="R11" s="65" t="e">
        <v>#REF!</v>
      </c>
      <c r="S11" s="65" t="e">
        <v>#REF!</v>
      </c>
      <c r="T11" s="65" t="e">
        <v>#REF!</v>
      </c>
      <c r="U11" s="65" t="e">
        <v>#REF!</v>
      </c>
      <c r="V11" s="65" t="e">
        <v>#REF!</v>
      </c>
      <c r="W11" s="65" t="e">
        <v>#REF!</v>
      </c>
      <c r="X11" s="65" t="e">
        <v>#REF!</v>
      </c>
      <c r="Y11" s="65" t="s">
        <v>89</v>
      </c>
      <c r="Z11" s="53"/>
    </row>
    <row r="12" spans="3:26" x14ac:dyDescent="0.25">
      <c r="C12" s="52"/>
      <c r="D12" s="64" t="s">
        <v>92</v>
      </c>
      <c r="E12" s="65" t="e">
        <v>#REF!</v>
      </c>
      <c r="F12" s="65" t="e">
        <v>#REF!</v>
      </c>
      <c r="G12" s="65" t="e">
        <v>#REF!</v>
      </c>
      <c r="H12" s="65" t="e">
        <v>#REF!</v>
      </c>
      <c r="I12" s="65" t="e">
        <v>#REF!</v>
      </c>
      <c r="J12" s="65" t="e">
        <v>#REF!</v>
      </c>
      <c r="K12" s="65" t="e">
        <v>#REF!</v>
      </c>
      <c r="L12" s="65" t="e">
        <v>#REF!</v>
      </c>
      <c r="M12" s="65" t="e">
        <v>#REF!</v>
      </c>
      <c r="N12" s="65" t="e">
        <v>#REF!</v>
      </c>
      <c r="O12" s="65" t="e">
        <v>#REF!</v>
      </c>
      <c r="P12" s="65" t="e">
        <v>#REF!</v>
      </c>
      <c r="Q12" s="65" t="e">
        <v>#REF!</v>
      </c>
      <c r="R12" s="65" t="e">
        <v>#REF!</v>
      </c>
      <c r="S12" s="65" t="e">
        <v>#REF!</v>
      </c>
      <c r="T12" s="65" t="e">
        <v>#REF!</v>
      </c>
      <c r="U12" s="65" t="e">
        <v>#REF!</v>
      </c>
      <c r="V12" s="65" t="e">
        <v>#REF!</v>
      </c>
      <c r="W12" s="65" t="e">
        <v>#REF!</v>
      </c>
      <c r="X12" s="65" t="e">
        <v>#REF!</v>
      </c>
      <c r="Y12" s="65" t="s">
        <v>89</v>
      </c>
      <c r="Z12" s="53"/>
    </row>
    <row r="13" spans="3:26" x14ac:dyDescent="0.25">
      <c r="C13" s="52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53"/>
    </row>
    <row r="14" spans="3:26" x14ac:dyDescent="0.25">
      <c r="C14" s="52"/>
      <c r="D14" s="115">
        <f>D7+1</f>
        <v>43130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7"/>
      <c r="Z14" s="53"/>
    </row>
    <row r="15" spans="3:26" x14ac:dyDescent="0.25">
      <c r="C15" s="52"/>
      <c r="D15" s="64" t="s">
        <v>87</v>
      </c>
      <c r="E15" s="65" t="e">
        <f t="array" ref="E15:X19">TRANSPOSE(#REF!)</f>
        <v>#REF!</v>
      </c>
      <c r="F15" s="65" t="e">
        <v>#REF!</v>
      </c>
      <c r="G15" s="65" t="e">
        <v>#REF!</v>
      </c>
      <c r="H15" s="65" t="e">
        <v>#REF!</v>
      </c>
      <c r="I15" s="65" t="e">
        <v>#REF!</v>
      </c>
      <c r="J15" s="65" t="e">
        <v>#REF!</v>
      </c>
      <c r="K15" s="65" t="e">
        <v>#REF!</v>
      </c>
      <c r="L15" s="65" t="e">
        <v>#REF!</v>
      </c>
      <c r="M15" s="65" t="e">
        <v>#REF!</v>
      </c>
      <c r="N15" s="65" t="e">
        <v>#REF!</v>
      </c>
      <c r="O15" s="65" t="e">
        <v>#REF!</v>
      </c>
      <c r="P15" s="65" t="e">
        <v>#REF!</v>
      </c>
      <c r="Q15" s="65" t="e">
        <v>#REF!</v>
      </c>
      <c r="R15" s="65" t="e">
        <v>#REF!</v>
      </c>
      <c r="S15" s="65" t="e">
        <v>#REF!</v>
      </c>
      <c r="T15" s="65" t="e">
        <v>#REF!</v>
      </c>
      <c r="U15" s="65" t="e">
        <v>#REF!</v>
      </c>
      <c r="V15" s="65" t="e">
        <v>#REF!</v>
      </c>
      <c r="W15" s="65" t="e">
        <v>#REF!</v>
      </c>
      <c r="X15" s="65" t="e">
        <v>#REF!</v>
      </c>
      <c r="Y15" s="65" t="s">
        <v>89</v>
      </c>
      <c r="Z15" s="53"/>
    </row>
    <row r="16" spans="3:26" x14ac:dyDescent="0.25">
      <c r="C16" s="52"/>
      <c r="D16" s="64" t="s">
        <v>88</v>
      </c>
      <c r="E16" s="65" t="e">
        <v>#REF!</v>
      </c>
      <c r="F16" s="65" t="e">
        <v>#REF!</v>
      </c>
      <c r="G16" s="65" t="e">
        <v>#REF!</v>
      </c>
      <c r="H16" s="65" t="e">
        <v>#REF!</v>
      </c>
      <c r="I16" s="65" t="e">
        <v>#REF!</v>
      </c>
      <c r="J16" s="65" t="e">
        <v>#REF!</v>
      </c>
      <c r="K16" s="65" t="e">
        <v>#REF!</v>
      </c>
      <c r="L16" s="65" t="e">
        <v>#REF!</v>
      </c>
      <c r="M16" s="65" t="e">
        <v>#REF!</v>
      </c>
      <c r="N16" s="65" t="e">
        <v>#REF!</v>
      </c>
      <c r="O16" s="65" t="e">
        <v>#REF!</v>
      </c>
      <c r="P16" s="65" t="e">
        <v>#REF!</v>
      </c>
      <c r="Q16" s="65" t="e">
        <v>#REF!</v>
      </c>
      <c r="R16" s="65" t="e">
        <v>#REF!</v>
      </c>
      <c r="S16" s="65" t="e">
        <v>#REF!</v>
      </c>
      <c r="T16" s="65" t="e">
        <v>#REF!</v>
      </c>
      <c r="U16" s="65" t="e">
        <v>#REF!</v>
      </c>
      <c r="V16" s="65" t="e">
        <v>#REF!</v>
      </c>
      <c r="W16" s="65" t="e">
        <v>#REF!</v>
      </c>
      <c r="X16" s="65" t="e">
        <v>#REF!</v>
      </c>
      <c r="Y16" s="65" t="s">
        <v>89</v>
      </c>
      <c r="Z16" s="53"/>
    </row>
    <row r="17" spans="3:26" x14ac:dyDescent="0.25">
      <c r="C17" s="52">
        <f>'[1]06'!$J100</f>
        <v>3</v>
      </c>
      <c r="D17" s="64" t="s">
        <v>90</v>
      </c>
      <c r="E17" s="76" t="e">
        <v>#REF!</v>
      </c>
      <c r="F17" s="77" t="e">
        <v>#REF!</v>
      </c>
      <c r="G17" s="77" t="e">
        <v>#REF!</v>
      </c>
      <c r="H17" s="66" t="e">
        <v>#REF!</v>
      </c>
      <c r="I17" s="65" t="e">
        <v>#REF!</v>
      </c>
      <c r="J17" s="65" t="e">
        <v>#REF!</v>
      </c>
      <c r="K17" s="65" t="e">
        <v>#REF!</v>
      </c>
      <c r="L17" s="65" t="e">
        <v>#REF!</v>
      </c>
      <c r="M17" s="65" t="e">
        <v>#REF!</v>
      </c>
      <c r="N17" s="65" t="e">
        <v>#REF!</v>
      </c>
      <c r="O17" s="65" t="e">
        <v>#REF!</v>
      </c>
      <c r="P17" s="65" t="e">
        <v>#REF!</v>
      </c>
      <c r="Q17" s="65" t="e">
        <v>#REF!</v>
      </c>
      <c r="R17" s="65" t="e">
        <v>#REF!</v>
      </c>
      <c r="S17" s="65" t="e">
        <v>#REF!</v>
      </c>
      <c r="T17" s="65" t="e">
        <v>#REF!</v>
      </c>
      <c r="U17" s="65" t="e">
        <v>#REF!</v>
      </c>
      <c r="V17" s="65" t="e">
        <v>#REF!</v>
      </c>
      <c r="W17" s="65" t="e">
        <v>#REF!</v>
      </c>
      <c r="X17" s="65" t="e">
        <v>#REF!</v>
      </c>
      <c r="Y17" s="65" t="s">
        <v>89</v>
      </c>
      <c r="Z17" s="53"/>
    </row>
    <row r="18" spans="3:26" x14ac:dyDescent="0.25">
      <c r="C18" s="52">
        <f>'[1]06'!$K100</f>
        <v>5</v>
      </c>
      <c r="D18" s="64" t="s">
        <v>91</v>
      </c>
      <c r="E18" s="78" t="e">
        <v>#REF!</v>
      </c>
      <c r="F18" s="79" t="e">
        <v>#REF!</v>
      </c>
      <c r="G18" s="79" t="e">
        <v>#REF!</v>
      </c>
      <c r="H18" s="77" t="e">
        <v>#REF!</v>
      </c>
      <c r="I18" s="77" t="e">
        <v>#REF!</v>
      </c>
      <c r="J18" s="65" t="e">
        <v>#REF!</v>
      </c>
      <c r="K18" s="65" t="e">
        <v>#REF!</v>
      </c>
      <c r="L18" s="65" t="e">
        <v>#REF!</v>
      </c>
      <c r="M18" s="65" t="e">
        <v>#REF!</v>
      </c>
      <c r="N18" s="65" t="e">
        <v>#REF!</v>
      </c>
      <c r="O18" s="65" t="e">
        <v>#REF!</v>
      </c>
      <c r="P18" s="65" t="e">
        <v>#REF!</v>
      </c>
      <c r="Q18" s="65" t="e">
        <v>#REF!</v>
      </c>
      <c r="R18" s="65" t="e">
        <v>#REF!</v>
      </c>
      <c r="S18" s="65" t="e">
        <v>#REF!</v>
      </c>
      <c r="T18" s="65" t="e">
        <v>#REF!</v>
      </c>
      <c r="U18" s="65" t="e">
        <v>#REF!</v>
      </c>
      <c r="V18" s="65" t="e">
        <v>#REF!</v>
      </c>
      <c r="W18" s="65" t="e">
        <v>#REF!</v>
      </c>
      <c r="X18" s="65" t="e">
        <v>#REF!</v>
      </c>
      <c r="Y18" s="65" t="s">
        <v>89</v>
      </c>
      <c r="Z18" s="53"/>
    </row>
    <row r="19" spans="3:26" x14ac:dyDescent="0.25">
      <c r="C19" s="52"/>
      <c r="D19" s="64" t="s">
        <v>92</v>
      </c>
      <c r="E19" s="65" t="e">
        <v>#REF!</v>
      </c>
      <c r="F19" s="65" t="e">
        <v>#REF!</v>
      </c>
      <c r="G19" s="65" t="e">
        <v>#REF!</v>
      </c>
      <c r="H19" s="65" t="e">
        <v>#REF!</v>
      </c>
      <c r="I19" s="65" t="e">
        <v>#REF!</v>
      </c>
      <c r="J19" s="65" t="e">
        <v>#REF!</v>
      </c>
      <c r="K19" s="65" t="e">
        <v>#REF!</v>
      </c>
      <c r="L19" s="65" t="e">
        <v>#REF!</v>
      </c>
      <c r="M19" s="65" t="e">
        <v>#REF!</v>
      </c>
      <c r="N19" s="65" t="e">
        <v>#REF!</v>
      </c>
      <c r="O19" s="65" t="e">
        <v>#REF!</v>
      </c>
      <c r="P19" s="65" t="e">
        <v>#REF!</v>
      </c>
      <c r="Q19" s="65" t="e">
        <v>#REF!</v>
      </c>
      <c r="R19" s="65" t="e">
        <v>#REF!</v>
      </c>
      <c r="S19" s="65" t="e">
        <v>#REF!</v>
      </c>
      <c r="T19" s="65" t="e">
        <v>#REF!</v>
      </c>
      <c r="U19" s="65" t="e">
        <v>#REF!</v>
      </c>
      <c r="V19" s="65" t="e">
        <v>#REF!</v>
      </c>
      <c r="W19" s="65" t="e">
        <v>#REF!</v>
      </c>
      <c r="X19" s="65" t="e">
        <v>#REF!</v>
      </c>
      <c r="Y19" s="65" t="s">
        <v>89</v>
      </c>
      <c r="Z19" s="53"/>
    </row>
    <row r="20" spans="3:26" x14ac:dyDescent="0.25">
      <c r="C20" s="52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53"/>
    </row>
    <row r="21" spans="3:26" x14ac:dyDescent="0.25">
      <c r="C21" s="52"/>
      <c r="D21" s="115">
        <f>D14+1</f>
        <v>43131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7"/>
      <c r="Z21" s="53"/>
    </row>
    <row r="22" spans="3:26" x14ac:dyDescent="0.25">
      <c r="C22" s="52"/>
      <c r="D22" s="64" t="s">
        <v>87</v>
      </c>
      <c r="E22" s="65" t="e">
        <f t="array" ref="E22:X26">TRANSPOSE(#REF!)</f>
        <v>#REF!</v>
      </c>
      <c r="F22" s="65" t="e">
        <v>#REF!</v>
      </c>
      <c r="G22" s="65" t="e">
        <v>#REF!</v>
      </c>
      <c r="H22" s="65" t="e">
        <v>#REF!</v>
      </c>
      <c r="I22" s="65" t="e">
        <v>#REF!</v>
      </c>
      <c r="J22" s="65" t="e">
        <v>#REF!</v>
      </c>
      <c r="K22" s="65" t="e">
        <v>#REF!</v>
      </c>
      <c r="L22" s="65" t="e">
        <v>#REF!</v>
      </c>
      <c r="M22" s="65" t="e">
        <v>#REF!</v>
      </c>
      <c r="N22" s="65" t="e">
        <v>#REF!</v>
      </c>
      <c r="O22" s="65" t="e">
        <v>#REF!</v>
      </c>
      <c r="P22" s="65" t="e">
        <v>#REF!</v>
      </c>
      <c r="Q22" s="65" t="e">
        <v>#REF!</v>
      </c>
      <c r="R22" s="65" t="e">
        <v>#REF!</v>
      </c>
      <c r="S22" s="65" t="e">
        <v>#REF!</v>
      </c>
      <c r="T22" s="65" t="e">
        <v>#REF!</v>
      </c>
      <c r="U22" s="65" t="e">
        <v>#REF!</v>
      </c>
      <c r="V22" s="65" t="e">
        <v>#REF!</v>
      </c>
      <c r="W22" s="65" t="e">
        <v>#REF!</v>
      </c>
      <c r="X22" s="65" t="e">
        <v>#REF!</v>
      </c>
      <c r="Y22" s="65" t="s">
        <v>89</v>
      </c>
      <c r="Z22" s="53"/>
    </row>
    <row r="23" spans="3:26" x14ac:dyDescent="0.25">
      <c r="C23" s="52"/>
      <c r="D23" s="64" t="s">
        <v>88</v>
      </c>
      <c r="E23" s="65" t="e">
        <v>#REF!</v>
      </c>
      <c r="F23" s="65" t="e">
        <v>#REF!</v>
      </c>
      <c r="G23" s="65" t="e">
        <v>#REF!</v>
      </c>
      <c r="H23" s="65" t="e">
        <v>#REF!</v>
      </c>
      <c r="I23" s="65" t="e">
        <v>#REF!</v>
      </c>
      <c r="J23" s="65" t="e">
        <v>#REF!</v>
      </c>
      <c r="K23" s="65" t="e">
        <v>#REF!</v>
      </c>
      <c r="L23" s="65" t="e">
        <v>#REF!</v>
      </c>
      <c r="M23" s="65" t="e">
        <v>#REF!</v>
      </c>
      <c r="N23" s="65" t="e">
        <v>#REF!</v>
      </c>
      <c r="O23" s="65" t="e">
        <v>#REF!</v>
      </c>
      <c r="P23" s="65" t="e">
        <v>#REF!</v>
      </c>
      <c r="Q23" s="65" t="e">
        <v>#REF!</v>
      </c>
      <c r="R23" s="65" t="e">
        <v>#REF!</v>
      </c>
      <c r="S23" s="65" t="e">
        <v>#REF!</v>
      </c>
      <c r="T23" s="65" t="e">
        <v>#REF!</v>
      </c>
      <c r="U23" s="65" t="e">
        <v>#REF!</v>
      </c>
      <c r="V23" s="65" t="e">
        <v>#REF!</v>
      </c>
      <c r="W23" s="65" t="e">
        <v>#REF!</v>
      </c>
      <c r="X23" s="65" t="e">
        <v>#REF!</v>
      </c>
      <c r="Y23" s="65" t="s">
        <v>89</v>
      </c>
      <c r="Z23" s="53"/>
    </row>
    <row r="24" spans="3:26" x14ac:dyDescent="0.25">
      <c r="C24" s="52">
        <f>'[1]06'!$O100</f>
        <v>3</v>
      </c>
      <c r="D24" s="64" t="s">
        <v>90</v>
      </c>
      <c r="E24" s="76" t="e">
        <v>#REF!</v>
      </c>
      <c r="F24" s="77" t="e">
        <v>#REF!</v>
      </c>
      <c r="G24" s="77" t="e">
        <v>#REF!</v>
      </c>
      <c r="H24" s="66" t="e">
        <v>#REF!</v>
      </c>
      <c r="I24" s="65" t="e">
        <v>#REF!</v>
      </c>
      <c r="J24" s="65" t="e">
        <v>#REF!</v>
      </c>
      <c r="K24" s="65" t="e">
        <v>#REF!</v>
      </c>
      <c r="L24" s="65" t="e">
        <v>#REF!</v>
      </c>
      <c r="M24" s="65" t="e">
        <v>#REF!</v>
      </c>
      <c r="N24" s="65" t="e">
        <v>#REF!</v>
      </c>
      <c r="O24" s="65" t="e">
        <v>#REF!</v>
      </c>
      <c r="P24" s="65" t="e">
        <v>#REF!</v>
      </c>
      <c r="Q24" s="65" t="e">
        <v>#REF!</v>
      </c>
      <c r="R24" s="65" t="e">
        <v>#REF!</v>
      </c>
      <c r="S24" s="65" t="e">
        <v>#REF!</v>
      </c>
      <c r="T24" s="65" t="e">
        <v>#REF!</v>
      </c>
      <c r="U24" s="65" t="e">
        <v>#REF!</v>
      </c>
      <c r="V24" s="65" t="e">
        <v>#REF!</v>
      </c>
      <c r="W24" s="65" t="e">
        <v>#REF!</v>
      </c>
      <c r="X24" s="65" t="e">
        <v>#REF!</v>
      </c>
      <c r="Y24" s="65" t="s">
        <v>89</v>
      </c>
      <c r="Z24" s="53"/>
    </row>
    <row r="25" spans="3:26" x14ac:dyDescent="0.25">
      <c r="C25" s="52">
        <f>'[1]06'!$P100</f>
        <v>5</v>
      </c>
      <c r="D25" s="64" t="s">
        <v>91</v>
      </c>
      <c r="E25" s="78" t="e">
        <v>#REF!</v>
      </c>
      <c r="F25" s="79" t="e">
        <v>#REF!</v>
      </c>
      <c r="G25" s="79" t="e">
        <v>#REF!</v>
      </c>
      <c r="H25" s="77" t="e">
        <v>#REF!</v>
      </c>
      <c r="I25" s="77" t="e">
        <v>#REF!</v>
      </c>
      <c r="J25" s="65" t="e">
        <v>#REF!</v>
      </c>
      <c r="K25" s="65" t="e">
        <v>#REF!</v>
      </c>
      <c r="L25" s="65" t="e">
        <v>#REF!</v>
      </c>
      <c r="M25" s="65" t="e">
        <v>#REF!</v>
      </c>
      <c r="N25" s="65" t="e">
        <v>#REF!</v>
      </c>
      <c r="O25" s="65" t="e">
        <v>#REF!</v>
      </c>
      <c r="P25" s="65" t="e">
        <v>#REF!</v>
      </c>
      <c r="Q25" s="65" t="e">
        <v>#REF!</v>
      </c>
      <c r="R25" s="65" t="e">
        <v>#REF!</v>
      </c>
      <c r="S25" s="65" t="e">
        <v>#REF!</v>
      </c>
      <c r="T25" s="65" t="e">
        <v>#REF!</v>
      </c>
      <c r="U25" s="65" t="e">
        <v>#REF!</v>
      </c>
      <c r="V25" s="65" t="e">
        <v>#REF!</v>
      </c>
      <c r="W25" s="65" t="e">
        <v>#REF!</v>
      </c>
      <c r="X25" s="65" t="e">
        <v>#REF!</v>
      </c>
      <c r="Y25" s="65" t="s">
        <v>89</v>
      </c>
      <c r="Z25" s="53"/>
    </row>
    <row r="26" spans="3:26" x14ac:dyDescent="0.25">
      <c r="C26" s="52"/>
      <c r="D26" s="64" t="s">
        <v>92</v>
      </c>
      <c r="E26" s="65" t="e">
        <v>#REF!</v>
      </c>
      <c r="F26" s="65" t="e">
        <v>#REF!</v>
      </c>
      <c r="G26" s="65" t="e">
        <v>#REF!</v>
      </c>
      <c r="H26" s="65" t="e">
        <v>#REF!</v>
      </c>
      <c r="I26" s="65" t="e">
        <v>#REF!</v>
      </c>
      <c r="J26" s="65" t="e">
        <v>#REF!</v>
      </c>
      <c r="K26" s="65" t="e">
        <v>#REF!</v>
      </c>
      <c r="L26" s="65" t="e">
        <v>#REF!</v>
      </c>
      <c r="M26" s="65" t="e">
        <v>#REF!</v>
      </c>
      <c r="N26" s="65" t="e">
        <v>#REF!</v>
      </c>
      <c r="O26" s="65" t="e">
        <v>#REF!</v>
      </c>
      <c r="P26" s="65" t="e">
        <v>#REF!</v>
      </c>
      <c r="Q26" s="65" t="e">
        <v>#REF!</v>
      </c>
      <c r="R26" s="65" t="e">
        <v>#REF!</v>
      </c>
      <c r="S26" s="65" t="e">
        <v>#REF!</v>
      </c>
      <c r="T26" s="65" t="e">
        <v>#REF!</v>
      </c>
      <c r="U26" s="65" t="e">
        <v>#REF!</v>
      </c>
      <c r="V26" s="65" t="e">
        <v>#REF!</v>
      </c>
      <c r="W26" s="65" t="e">
        <v>#REF!</v>
      </c>
      <c r="X26" s="65" t="e">
        <v>#REF!</v>
      </c>
      <c r="Y26" s="65" t="s">
        <v>89</v>
      </c>
      <c r="Z26" s="53"/>
    </row>
    <row r="27" spans="3:26" x14ac:dyDescent="0.25">
      <c r="C27" s="52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53"/>
    </row>
    <row r="28" spans="3:26" x14ac:dyDescent="0.25">
      <c r="C28" s="52"/>
      <c r="D28" s="115">
        <f>D21+1</f>
        <v>43132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7"/>
      <c r="Z28" s="53"/>
    </row>
    <row r="29" spans="3:26" x14ac:dyDescent="0.25">
      <c r="C29" s="52"/>
      <c r="D29" s="64" t="s">
        <v>87</v>
      </c>
      <c r="E29" s="65" t="e">
        <f t="array" ref="E29:X33">TRANSPOSE(#REF!)</f>
        <v>#REF!</v>
      </c>
      <c r="F29" s="65" t="e">
        <v>#REF!</v>
      </c>
      <c r="G29" s="65" t="e">
        <v>#REF!</v>
      </c>
      <c r="H29" s="65" t="e">
        <v>#REF!</v>
      </c>
      <c r="I29" s="65" t="e">
        <v>#REF!</v>
      </c>
      <c r="J29" s="65" t="e">
        <v>#REF!</v>
      </c>
      <c r="K29" s="65" t="e">
        <v>#REF!</v>
      </c>
      <c r="L29" s="65" t="e">
        <v>#REF!</v>
      </c>
      <c r="M29" s="65" t="e">
        <v>#REF!</v>
      </c>
      <c r="N29" s="65" t="e">
        <v>#REF!</v>
      </c>
      <c r="O29" s="65" t="e">
        <v>#REF!</v>
      </c>
      <c r="P29" s="65" t="e">
        <v>#REF!</v>
      </c>
      <c r="Q29" s="65" t="e">
        <v>#REF!</v>
      </c>
      <c r="R29" s="65" t="e">
        <v>#REF!</v>
      </c>
      <c r="S29" s="65" t="e">
        <v>#REF!</v>
      </c>
      <c r="T29" s="65" t="e">
        <v>#REF!</v>
      </c>
      <c r="U29" s="65" t="e">
        <v>#REF!</v>
      </c>
      <c r="V29" s="65" t="e">
        <v>#REF!</v>
      </c>
      <c r="W29" s="65" t="e">
        <v>#REF!</v>
      </c>
      <c r="X29" s="65" t="e">
        <v>#REF!</v>
      </c>
      <c r="Y29" s="65" t="s">
        <v>89</v>
      </c>
      <c r="Z29" s="53"/>
    </row>
    <row r="30" spans="3:26" x14ac:dyDescent="0.25">
      <c r="C30" s="52"/>
      <c r="D30" s="64" t="s">
        <v>88</v>
      </c>
      <c r="E30" s="65" t="e">
        <v>#REF!</v>
      </c>
      <c r="F30" s="65" t="e">
        <v>#REF!</v>
      </c>
      <c r="G30" s="65" t="e">
        <v>#REF!</v>
      </c>
      <c r="H30" s="65" t="e">
        <v>#REF!</v>
      </c>
      <c r="I30" s="65" t="e">
        <v>#REF!</v>
      </c>
      <c r="J30" s="65" t="e">
        <v>#REF!</v>
      </c>
      <c r="K30" s="65" t="e">
        <v>#REF!</v>
      </c>
      <c r="L30" s="65" t="e">
        <v>#REF!</v>
      </c>
      <c r="M30" s="65" t="e">
        <v>#REF!</v>
      </c>
      <c r="N30" s="65" t="e">
        <v>#REF!</v>
      </c>
      <c r="O30" s="65" t="e">
        <v>#REF!</v>
      </c>
      <c r="P30" s="65" t="e">
        <v>#REF!</v>
      </c>
      <c r="Q30" s="65" t="e">
        <v>#REF!</v>
      </c>
      <c r="R30" s="65" t="e">
        <v>#REF!</v>
      </c>
      <c r="S30" s="65" t="e">
        <v>#REF!</v>
      </c>
      <c r="T30" s="65" t="e">
        <v>#REF!</v>
      </c>
      <c r="U30" s="65" t="e">
        <v>#REF!</v>
      </c>
      <c r="V30" s="65" t="e">
        <v>#REF!</v>
      </c>
      <c r="W30" s="65" t="e">
        <v>#REF!</v>
      </c>
      <c r="X30" s="65" t="e">
        <v>#REF!</v>
      </c>
      <c r="Y30" s="65" t="s">
        <v>89</v>
      </c>
      <c r="Z30" s="53"/>
    </row>
    <row r="31" spans="3:26" x14ac:dyDescent="0.25">
      <c r="C31" s="52">
        <f>'[1]06'!$T100</f>
        <v>3</v>
      </c>
      <c r="D31" s="64" t="s">
        <v>90</v>
      </c>
      <c r="E31" s="76" t="e">
        <v>#REF!</v>
      </c>
      <c r="F31" s="77" t="e">
        <v>#REF!</v>
      </c>
      <c r="G31" s="77" t="e">
        <v>#REF!</v>
      </c>
      <c r="H31" s="66" t="e">
        <v>#REF!</v>
      </c>
      <c r="I31" s="65" t="e">
        <v>#REF!</v>
      </c>
      <c r="J31" s="65" t="e">
        <v>#REF!</v>
      </c>
      <c r="K31" s="65" t="e">
        <v>#REF!</v>
      </c>
      <c r="L31" s="65" t="e">
        <v>#REF!</v>
      </c>
      <c r="M31" s="65" t="e">
        <v>#REF!</v>
      </c>
      <c r="N31" s="65" t="e">
        <v>#REF!</v>
      </c>
      <c r="O31" s="65" t="e">
        <v>#REF!</v>
      </c>
      <c r="P31" s="65" t="e">
        <v>#REF!</v>
      </c>
      <c r="Q31" s="65" t="e">
        <v>#REF!</v>
      </c>
      <c r="R31" s="65" t="e">
        <v>#REF!</v>
      </c>
      <c r="S31" s="65" t="e">
        <v>#REF!</v>
      </c>
      <c r="T31" s="65" t="e">
        <v>#REF!</v>
      </c>
      <c r="U31" s="65" t="e">
        <v>#REF!</v>
      </c>
      <c r="V31" s="65" t="e">
        <v>#REF!</v>
      </c>
      <c r="W31" s="65" t="e">
        <v>#REF!</v>
      </c>
      <c r="X31" s="65" t="e">
        <v>#REF!</v>
      </c>
      <c r="Y31" s="65" t="s">
        <v>89</v>
      </c>
      <c r="Z31" s="53"/>
    </row>
    <row r="32" spans="3:26" x14ac:dyDescent="0.25">
      <c r="C32" s="52">
        <f>'[1]06'!$U100</f>
        <v>5</v>
      </c>
      <c r="D32" s="64" t="s">
        <v>91</v>
      </c>
      <c r="E32" s="78" t="e">
        <v>#REF!</v>
      </c>
      <c r="F32" s="79" t="e">
        <v>#REF!</v>
      </c>
      <c r="G32" s="79" t="e">
        <v>#REF!</v>
      </c>
      <c r="H32" s="77" t="e">
        <v>#REF!</v>
      </c>
      <c r="I32" s="77" t="e">
        <v>#REF!</v>
      </c>
      <c r="J32" s="65" t="e">
        <v>#REF!</v>
      </c>
      <c r="K32" s="65" t="e">
        <v>#REF!</v>
      </c>
      <c r="L32" s="65" t="e">
        <v>#REF!</v>
      </c>
      <c r="M32" s="65" t="e">
        <v>#REF!</v>
      </c>
      <c r="N32" s="65" t="e">
        <v>#REF!</v>
      </c>
      <c r="O32" s="65" t="e">
        <v>#REF!</v>
      </c>
      <c r="P32" s="65" t="e">
        <v>#REF!</v>
      </c>
      <c r="Q32" s="65" t="e">
        <v>#REF!</v>
      </c>
      <c r="R32" s="65" t="e">
        <v>#REF!</v>
      </c>
      <c r="S32" s="65" t="e">
        <v>#REF!</v>
      </c>
      <c r="T32" s="65" t="e">
        <v>#REF!</v>
      </c>
      <c r="U32" s="65" t="e">
        <v>#REF!</v>
      </c>
      <c r="V32" s="65" t="e">
        <v>#REF!</v>
      </c>
      <c r="W32" s="65" t="e">
        <v>#REF!</v>
      </c>
      <c r="X32" s="65" t="e">
        <v>#REF!</v>
      </c>
      <c r="Y32" s="65" t="s">
        <v>89</v>
      </c>
      <c r="Z32" s="53"/>
    </row>
    <row r="33" spans="3:26" x14ac:dyDescent="0.25">
      <c r="C33" s="52"/>
      <c r="D33" s="64" t="s">
        <v>92</v>
      </c>
      <c r="E33" s="65" t="e">
        <v>#REF!</v>
      </c>
      <c r="F33" s="65" t="e">
        <v>#REF!</v>
      </c>
      <c r="G33" s="65" t="e">
        <v>#REF!</v>
      </c>
      <c r="H33" s="65" t="e">
        <v>#REF!</v>
      </c>
      <c r="I33" s="65" t="e">
        <v>#REF!</v>
      </c>
      <c r="J33" s="65" t="e">
        <v>#REF!</v>
      </c>
      <c r="K33" s="65" t="e">
        <v>#REF!</v>
      </c>
      <c r="L33" s="65" t="e">
        <v>#REF!</v>
      </c>
      <c r="M33" s="65" t="e">
        <v>#REF!</v>
      </c>
      <c r="N33" s="65" t="e">
        <v>#REF!</v>
      </c>
      <c r="O33" s="65" t="e">
        <v>#REF!</v>
      </c>
      <c r="P33" s="65" t="e">
        <v>#REF!</v>
      </c>
      <c r="Q33" s="65" t="e">
        <v>#REF!</v>
      </c>
      <c r="R33" s="65" t="e">
        <v>#REF!</v>
      </c>
      <c r="S33" s="65" t="e">
        <v>#REF!</v>
      </c>
      <c r="T33" s="65" t="e">
        <v>#REF!</v>
      </c>
      <c r="U33" s="65" t="e">
        <v>#REF!</v>
      </c>
      <c r="V33" s="65" t="e">
        <v>#REF!</v>
      </c>
      <c r="W33" s="65" t="e">
        <v>#REF!</v>
      </c>
      <c r="X33" s="65" t="e">
        <v>#REF!</v>
      </c>
      <c r="Y33" s="65" t="s">
        <v>89</v>
      </c>
      <c r="Z33" s="53"/>
    </row>
    <row r="34" spans="3:26" x14ac:dyDescent="0.25">
      <c r="C34" s="52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53"/>
    </row>
    <row r="35" spans="3:26" x14ac:dyDescent="0.25">
      <c r="C35" s="52"/>
      <c r="D35" s="115">
        <f>D28+1</f>
        <v>43133</v>
      </c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7"/>
      <c r="Z35" s="53"/>
    </row>
    <row r="36" spans="3:26" x14ac:dyDescent="0.25">
      <c r="C36" s="52"/>
      <c r="D36" s="64" t="s">
        <v>87</v>
      </c>
      <c r="E36" s="65" t="e">
        <f t="array" ref="E36:X40">TRANSPOSE(#REF!)</f>
        <v>#REF!</v>
      </c>
      <c r="F36" s="65" t="e">
        <v>#REF!</v>
      </c>
      <c r="G36" s="65" t="e">
        <v>#REF!</v>
      </c>
      <c r="H36" s="65" t="e">
        <v>#REF!</v>
      </c>
      <c r="I36" s="65" t="e">
        <v>#REF!</v>
      </c>
      <c r="J36" s="65" t="e">
        <v>#REF!</v>
      </c>
      <c r="K36" s="65" t="e">
        <v>#REF!</v>
      </c>
      <c r="L36" s="65" t="e">
        <v>#REF!</v>
      </c>
      <c r="M36" s="65" t="e">
        <v>#REF!</v>
      </c>
      <c r="N36" s="65" t="e">
        <v>#REF!</v>
      </c>
      <c r="O36" s="65" t="e">
        <v>#REF!</v>
      </c>
      <c r="P36" s="65" t="e">
        <v>#REF!</v>
      </c>
      <c r="Q36" s="65" t="e">
        <v>#REF!</v>
      </c>
      <c r="R36" s="65" t="e">
        <v>#REF!</v>
      </c>
      <c r="S36" s="65" t="e">
        <v>#REF!</v>
      </c>
      <c r="T36" s="65" t="e">
        <v>#REF!</v>
      </c>
      <c r="U36" s="65" t="e">
        <v>#REF!</v>
      </c>
      <c r="V36" s="65" t="e">
        <v>#REF!</v>
      </c>
      <c r="W36" s="65" t="e">
        <v>#REF!</v>
      </c>
      <c r="X36" s="65" t="e">
        <v>#REF!</v>
      </c>
      <c r="Y36" s="65" t="s">
        <v>89</v>
      </c>
      <c r="Z36" s="53"/>
    </row>
    <row r="37" spans="3:26" x14ac:dyDescent="0.25">
      <c r="C37" s="52"/>
      <c r="D37" s="64" t="s">
        <v>88</v>
      </c>
      <c r="E37" s="65" t="e">
        <v>#REF!</v>
      </c>
      <c r="F37" s="65" t="e">
        <v>#REF!</v>
      </c>
      <c r="G37" s="65" t="e">
        <v>#REF!</v>
      </c>
      <c r="H37" s="65" t="e">
        <v>#REF!</v>
      </c>
      <c r="I37" s="65" t="e">
        <v>#REF!</v>
      </c>
      <c r="J37" s="65" t="e">
        <v>#REF!</v>
      </c>
      <c r="K37" s="65" t="e">
        <v>#REF!</v>
      </c>
      <c r="L37" s="65" t="e">
        <v>#REF!</v>
      </c>
      <c r="M37" s="65" t="e">
        <v>#REF!</v>
      </c>
      <c r="N37" s="65" t="e">
        <v>#REF!</v>
      </c>
      <c r="O37" s="65" t="e">
        <v>#REF!</v>
      </c>
      <c r="P37" s="65" t="e">
        <v>#REF!</v>
      </c>
      <c r="Q37" s="65" t="e">
        <v>#REF!</v>
      </c>
      <c r="R37" s="65" t="e">
        <v>#REF!</v>
      </c>
      <c r="S37" s="65" t="e">
        <v>#REF!</v>
      </c>
      <c r="T37" s="65" t="e">
        <v>#REF!</v>
      </c>
      <c r="U37" s="65" t="e">
        <v>#REF!</v>
      </c>
      <c r="V37" s="65" t="e">
        <v>#REF!</v>
      </c>
      <c r="W37" s="65" t="e">
        <v>#REF!</v>
      </c>
      <c r="X37" s="65" t="e">
        <v>#REF!</v>
      </c>
      <c r="Y37" s="65" t="s">
        <v>89</v>
      </c>
      <c r="Z37" s="53"/>
    </row>
    <row r="38" spans="3:26" x14ac:dyDescent="0.25">
      <c r="C38" s="52">
        <f>'[1]06'!$Y100</f>
        <v>3</v>
      </c>
      <c r="D38" s="64" t="s">
        <v>90</v>
      </c>
      <c r="E38" s="76" t="e">
        <v>#REF!</v>
      </c>
      <c r="F38" s="77" t="e">
        <v>#REF!</v>
      </c>
      <c r="G38" s="77" t="e">
        <v>#REF!</v>
      </c>
      <c r="H38" s="66" t="e">
        <v>#REF!</v>
      </c>
      <c r="I38" s="65" t="e">
        <v>#REF!</v>
      </c>
      <c r="J38" s="65" t="e">
        <v>#REF!</v>
      </c>
      <c r="K38" s="65" t="e">
        <v>#REF!</v>
      </c>
      <c r="L38" s="65" t="e">
        <v>#REF!</v>
      </c>
      <c r="M38" s="65" t="e">
        <v>#REF!</v>
      </c>
      <c r="N38" s="65" t="e">
        <v>#REF!</v>
      </c>
      <c r="O38" s="65" t="e">
        <v>#REF!</v>
      </c>
      <c r="P38" s="65" t="e">
        <v>#REF!</v>
      </c>
      <c r="Q38" s="65" t="e">
        <v>#REF!</v>
      </c>
      <c r="R38" s="65" t="e">
        <v>#REF!</v>
      </c>
      <c r="S38" s="65" t="e">
        <v>#REF!</v>
      </c>
      <c r="T38" s="65" t="e">
        <v>#REF!</v>
      </c>
      <c r="U38" s="65" t="e">
        <v>#REF!</v>
      </c>
      <c r="V38" s="65" t="e">
        <v>#REF!</v>
      </c>
      <c r="W38" s="65" t="e">
        <v>#REF!</v>
      </c>
      <c r="X38" s="65" t="e">
        <v>#REF!</v>
      </c>
      <c r="Y38" s="65" t="s">
        <v>89</v>
      </c>
      <c r="Z38" s="53"/>
    </row>
    <row r="39" spans="3:26" x14ac:dyDescent="0.25">
      <c r="C39" s="52">
        <f>'[1]06'!$Z100</f>
        <v>5</v>
      </c>
      <c r="D39" s="64" t="s">
        <v>91</v>
      </c>
      <c r="E39" s="78" t="e">
        <v>#REF!</v>
      </c>
      <c r="F39" s="79" t="e">
        <v>#REF!</v>
      </c>
      <c r="G39" s="79" t="e">
        <v>#REF!</v>
      </c>
      <c r="H39" s="77" t="e">
        <v>#REF!</v>
      </c>
      <c r="I39" s="77" t="e">
        <v>#REF!</v>
      </c>
      <c r="J39" s="65" t="e">
        <v>#REF!</v>
      </c>
      <c r="K39" s="65" t="e">
        <v>#REF!</v>
      </c>
      <c r="L39" s="65" t="e">
        <v>#REF!</v>
      </c>
      <c r="M39" s="65" t="e">
        <v>#REF!</v>
      </c>
      <c r="N39" s="65" t="e">
        <v>#REF!</v>
      </c>
      <c r="O39" s="65" t="e">
        <v>#REF!</v>
      </c>
      <c r="P39" s="65" t="e">
        <v>#REF!</v>
      </c>
      <c r="Q39" s="65" t="e">
        <v>#REF!</v>
      </c>
      <c r="R39" s="65" t="e">
        <v>#REF!</v>
      </c>
      <c r="S39" s="65" t="e">
        <v>#REF!</v>
      </c>
      <c r="T39" s="65" t="e">
        <v>#REF!</v>
      </c>
      <c r="U39" s="65" t="e">
        <v>#REF!</v>
      </c>
      <c r="V39" s="65" t="e">
        <v>#REF!</v>
      </c>
      <c r="W39" s="65" t="e">
        <v>#REF!</v>
      </c>
      <c r="X39" s="65" t="e">
        <v>#REF!</v>
      </c>
      <c r="Y39" s="65" t="s">
        <v>89</v>
      </c>
      <c r="Z39" s="53"/>
    </row>
    <row r="40" spans="3:26" x14ac:dyDescent="0.25">
      <c r="C40" s="52"/>
      <c r="D40" s="64" t="s">
        <v>92</v>
      </c>
      <c r="E40" s="65" t="e">
        <v>#REF!</v>
      </c>
      <c r="F40" s="65" t="e">
        <v>#REF!</v>
      </c>
      <c r="G40" s="65" t="e">
        <v>#REF!</v>
      </c>
      <c r="H40" s="65" t="e">
        <v>#REF!</v>
      </c>
      <c r="I40" s="65" t="e">
        <v>#REF!</v>
      </c>
      <c r="J40" s="65" t="e">
        <v>#REF!</v>
      </c>
      <c r="K40" s="65" t="e">
        <v>#REF!</v>
      </c>
      <c r="L40" s="65" t="e">
        <v>#REF!</v>
      </c>
      <c r="M40" s="65" t="e">
        <v>#REF!</v>
      </c>
      <c r="N40" s="65" t="e">
        <v>#REF!</v>
      </c>
      <c r="O40" s="65" t="e">
        <v>#REF!</v>
      </c>
      <c r="P40" s="65" t="e">
        <v>#REF!</v>
      </c>
      <c r="Q40" s="65" t="e">
        <v>#REF!</v>
      </c>
      <c r="R40" s="65" t="e">
        <v>#REF!</v>
      </c>
      <c r="S40" s="65" t="e">
        <v>#REF!</v>
      </c>
      <c r="T40" s="65" t="e">
        <v>#REF!</v>
      </c>
      <c r="U40" s="65" t="e">
        <v>#REF!</v>
      </c>
      <c r="V40" s="65" t="e">
        <v>#REF!</v>
      </c>
      <c r="W40" s="65" t="e">
        <v>#REF!</v>
      </c>
      <c r="X40" s="65" t="e">
        <v>#REF!</v>
      </c>
      <c r="Y40" s="65" t="s">
        <v>89</v>
      </c>
      <c r="Z40" s="53"/>
    </row>
    <row r="41" spans="3:26" x14ac:dyDescent="0.25">
      <c r="C41" s="52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53"/>
    </row>
    <row r="42" spans="3:26" x14ac:dyDescent="0.25">
      <c r="C42" s="52"/>
      <c r="D42" s="115">
        <f>D35+1</f>
        <v>43134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7"/>
      <c r="Z42" s="53"/>
    </row>
    <row r="43" spans="3:26" x14ac:dyDescent="0.25">
      <c r="C43" s="52"/>
      <c r="D43" s="64" t="s">
        <v>87</v>
      </c>
      <c r="E43" s="65" t="e">
        <f t="array" ref="E43:X47">TRANSPOSE(#REF!)</f>
        <v>#REF!</v>
      </c>
      <c r="F43" s="65" t="e">
        <v>#REF!</v>
      </c>
      <c r="G43" s="65" t="e">
        <v>#REF!</v>
      </c>
      <c r="H43" s="65" t="e">
        <v>#REF!</v>
      </c>
      <c r="I43" s="65" t="e">
        <v>#REF!</v>
      </c>
      <c r="J43" s="65" t="e">
        <v>#REF!</v>
      </c>
      <c r="K43" s="65" t="e">
        <v>#REF!</v>
      </c>
      <c r="L43" s="65" t="e">
        <v>#REF!</v>
      </c>
      <c r="M43" s="65" t="e">
        <v>#REF!</v>
      </c>
      <c r="N43" s="65" t="e">
        <v>#REF!</v>
      </c>
      <c r="O43" s="65" t="e">
        <v>#REF!</v>
      </c>
      <c r="P43" s="65" t="e">
        <v>#REF!</v>
      </c>
      <c r="Q43" s="65" t="e">
        <v>#REF!</v>
      </c>
      <c r="R43" s="65" t="e">
        <v>#REF!</v>
      </c>
      <c r="S43" s="65" t="e">
        <v>#REF!</v>
      </c>
      <c r="T43" s="65" t="e">
        <v>#REF!</v>
      </c>
      <c r="U43" s="65" t="e">
        <v>#REF!</v>
      </c>
      <c r="V43" s="65" t="e">
        <v>#REF!</v>
      </c>
      <c r="W43" s="65" t="e">
        <v>#REF!</v>
      </c>
      <c r="X43" s="65" t="e">
        <v>#REF!</v>
      </c>
      <c r="Y43" s="65" t="s">
        <v>89</v>
      </c>
      <c r="Z43" s="53"/>
    </row>
    <row r="44" spans="3:26" x14ac:dyDescent="0.25">
      <c r="C44" s="52"/>
      <c r="D44" s="64" t="s">
        <v>88</v>
      </c>
      <c r="E44" s="65" t="e">
        <v>#REF!</v>
      </c>
      <c r="F44" s="65" t="e">
        <v>#REF!</v>
      </c>
      <c r="G44" s="65" t="e">
        <v>#REF!</v>
      </c>
      <c r="H44" s="65" t="e">
        <v>#REF!</v>
      </c>
      <c r="I44" s="65" t="e">
        <v>#REF!</v>
      </c>
      <c r="J44" s="65" t="e">
        <v>#REF!</v>
      </c>
      <c r="K44" s="65" t="e">
        <v>#REF!</v>
      </c>
      <c r="L44" s="65" t="e">
        <v>#REF!</v>
      </c>
      <c r="M44" s="65" t="e">
        <v>#REF!</v>
      </c>
      <c r="N44" s="65" t="e">
        <v>#REF!</v>
      </c>
      <c r="O44" s="65" t="e">
        <v>#REF!</v>
      </c>
      <c r="P44" s="65" t="e">
        <v>#REF!</v>
      </c>
      <c r="Q44" s="65" t="e">
        <v>#REF!</v>
      </c>
      <c r="R44" s="65" t="e">
        <v>#REF!</v>
      </c>
      <c r="S44" s="65" t="e">
        <v>#REF!</v>
      </c>
      <c r="T44" s="65" t="e">
        <v>#REF!</v>
      </c>
      <c r="U44" s="65" t="e">
        <v>#REF!</v>
      </c>
      <c r="V44" s="65" t="e">
        <v>#REF!</v>
      </c>
      <c r="W44" s="65" t="e">
        <v>#REF!</v>
      </c>
      <c r="X44" s="65" t="e">
        <v>#REF!</v>
      </c>
      <c r="Y44" s="65" t="s">
        <v>89</v>
      </c>
      <c r="Z44" s="53"/>
    </row>
    <row r="45" spans="3:26" x14ac:dyDescent="0.25">
      <c r="C45" s="52">
        <f>'[1]06'!$AD100</f>
        <v>3</v>
      </c>
      <c r="D45" s="64" t="s">
        <v>90</v>
      </c>
      <c r="E45" s="76" t="e">
        <v>#REF!</v>
      </c>
      <c r="F45" s="77" t="e">
        <v>#REF!</v>
      </c>
      <c r="G45" s="77" t="e">
        <v>#REF!</v>
      </c>
      <c r="H45" s="66" t="e">
        <v>#REF!</v>
      </c>
      <c r="I45" s="65" t="e">
        <v>#REF!</v>
      </c>
      <c r="J45" s="65" t="e">
        <v>#REF!</v>
      </c>
      <c r="K45" s="65" t="e">
        <v>#REF!</v>
      </c>
      <c r="L45" s="65" t="e">
        <v>#REF!</v>
      </c>
      <c r="M45" s="65" t="e">
        <v>#REF!</v>
      </c>
      <c r="N45" s="65" t="e">
        <v>#REF!</v>
      </c>
      <c r="O45" s="65" t="e">
        <v>#REF!</v>
      </c>
      <c r="P45" s="65" t="e">
        <v>#REF!</v>
      </c>
      <c r="Q45" s="65" t="e">
        <v>#REF!</v>
      </c>
      <c r="R45" s="65" t="e">
        <v>#REF!</v>
      </c>
      <c r="S45" s="65" t="e">
        <v>#REF!</v>
      </c>
      <c r="T45" s="65" t="e">
        <v>#REF!</v>
      </c>
      <c r="U45" s="65" t="e">
        <v>#REF!</v>
      </c>
      <c r="V45" s="65" t="e">
        <v>#REF!</v>
      </c>
      <c r="W45" s="65" t="e">
        <v>#REF!</v>
      </c>
      <c r="X45" s="65" t="e">
        <v>#REF!</v>
      </c>
      <c r="Y45" s="65" t="s">
        <v>89</v>
      </c>
      <c r="Z45" s="53"/>
    </row>
    <row r="46" spans="3:26" x14ac:dyDescent="0.25">
      <c r="C46" s="52">
        <f>'[1]06'!$AE100</f>
        <v>5</v>
      </c>
      <c r="D46" s="64" t="s">
        <v>91</v>
      </c>
      <c r="E46" s="78" t="e">
        <v>#REF!</v>
      </c>
      <c r="F46" s="79" t="e">
        <v>#REF!</v>
      </c>
      <c r="G46" s="79" t="e">
        <v>#REF!</v>
      </c>
      <c r="H46" s="77" t="e">
        <v>#REF!</v>
      </c>
      <c r="I46" s="77" t="e">
        <v>#REF!</v>
      </c>
      <c r="J46" s="65" t="e">
        <v>#REF!</v>
      </c>
      <c r="K46" s="65" t="e">
        <v>#REF!</v>
      </c>
      <c r="L46" s="65" t="e">
        <v>#REF!</v>
      </c>
      <c r="M46" s="65" t="e">
        <v>#REF!</v>
      </c>
      <c r="N46" s="65" t="e">
        <v>#REF!</v>
      </c>
      <c r="O46" s="65" t="e">
        <v>#REF!</v>
      </c>
      <c r="P46" s="65" t="e">
        <v>#REF!</v>
      </c>
      <c r="Q46" s="65" t="e">
        <v>#REF!</v>
      </c>
      <c r="R46" s="65" t="e">
        <v>#REF!</v>
      </c>
      <c r="S46" s="65" t="e">
        <v>#REF!</v>
      </c>
      <c r="T46" s="65" t="e">
        <v>#REF!</v>
      </c>
      <c r="U46" s="65" t="e">
        <v>#REF!</v>
      </c>
      <c r="V46" s="65" t="e">
        <v>#REF!</v>
      </c>
      <c r="W46" s="65" t="e">
        <v>#REF!</v>
      </c>
      <c r="X46" s="65" t="e">
        <v>#REF!</v>
      </c>
      <c r="Y46" s="65" t="s">
        <v>89</v>
      </c>
      <c r="Z46" s="53"/>
    </row>
    <row r="47" spans="3:26" x14ac:dyDescent="0.25">
      <c r="C47" s="52"/>
      <c r="D47" s="64" t="s">
        <v>92</v>
      </c>
      <c r="E47" s="65" t="e">
        <v>#REF!</v>
      </c>
      <c r="F47" s="65" t="e">
        <v>#REF!</v>
      </c>
      <c r="G47" s="65" t="e">
        <v>#REF!</v>
      </c>
      <c r="H47" s="65" t="e">
        <v>#REF!</v>
      </c>
      <c r="I47" s="65" t="e">
        <v>#REF!</v>
      </c>
      <c r="J47" s="65" t="e">
        <v>#REF!</v>
      </c>
      <c r="K47" s="65" t="e">
        <v>#REF!</v>
      </c>
      <c r="L47" s="65" t="e">
        <v>#REF!</v>
      </c>
      <c r="M47" s="65" t="e">
        <v>#REF!</v>
      </c>
      <c r="N47" s="65" t="e">
        <v>#REF!</v>
      </c>
      <c r="O47" s="65" t="e">
        <v>#REF!</v>
      </c>
      <c r="P47" s="65" t="e">
        <v>#REF!</v>
      </c>
      <c r="Q47" s="65" t="e">
        <v>#REF!</v>
      </c>
      <c r="R47" s="65" t="e">
        <v>#REF!</v>
      </c>
      <c r="S47" s="65" t="e">
        <v>#REF!</v>
      </c>
      <c r="T47" s="65" t="e">
        <v>#REF!</v>
      </c>
      <c r="U47" s="65" t="e">
        <v>#REF!</v>
      </c>
      <c r="V47" s="65" t="e">
        <v>#REF!</v>
      </c>
      <c r="W47" s="65" t="e">
        <v>#REF!</v>
      </c>
      <c r="X47" s="65" t="e">
        <v>#REF!</v>
      </c>
      <c r="Y47" s="65" t="s">
        <v>89</v>
      </c>
      <c r="Z47" s="53"/>
    </row>
    <row r="48" spans="3:26" x14ac:dyDescent="0.25">
      <c r="C48" s="52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53"/>
    </row>
    <row r="49" spans="3:26" x14ac:dyDescent="0.25">
      <c r="C49" s="52"/>
      <c r="D49" s="115">
        <f>D42+1</f>
        <v>43135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7"/>
      <c r="Z49" s="53"/>
    </row>
    <row r="50" spans="3:26" x14ac:dyDescent="0.25">
      <c r="C50" s="52"/>
      <c r="D50" s="64" t="s">
        <v>87</v>
      </c>
      <c r="E50" s="65" t="e">
        <f t="array" ref="E50:X54">TRANSPOSE(#REF!)</f>
        <v>#REF!</v>
      </c>
      <c r="F50" s="65" t="e">
        <v>#REF!</v>
      </c>
      <c r="G50" s="65" t="e">
        <v>#REF!</v>
      </c>
      <c r="H50" s="65" t="e">
        <v>#REF!</v>
      </c>
      <c r="I50" s="65" t="e">
        <v>#REF!</v>
      </c>
      <c r="J50" s="65" t="e">
        <v>#REF!</v>
      </c>
      <c r="K50" s="65" t="e">
        <v>#REF!</v>
      </c>
      <c r="L50" s="65" t="e">
        <v>#REF!</v>
      </c>
      <c r="M50" s="65" t="e">
        <v>#REF!</v>
      </c>
      <c r="N50" s="65" t="e">
        <v>#REF!</v>
      </c>
      <c r="O50" s="65" t="e">
        <v>#REF!</v>
      </c>
      <c r="P50" s="65" t="e">
        <v>#REF!</v>
      </c>
      <c r="Q50" s="65" t="e">
        <v>#REF!</v>
      </c>
      <c r="R50" s="65" t="e">
        <v>#REF!</v>
      </c>
      <c r="S50" s="65" t="e">
        <v>#REF!</v>
      </c>
      <c r="T50" s="65" t="e">
        <v>#REF!</v>
      </c>
      <c r="U50" s="65" t="e">
        <v>#REF!</v>
      </c>
      <c r="V50" s="65" t="e">
        <v>#REF!</v>
      </c>
      <c r="W50" s="65" t="e">
        <v>#REF!</v>
      </c>
      <c r="X50" s="65" t="e">
        <v>#REF!</v>
      </c>
      <c r="Y50" s="65" t="s">
        <v>89</v>
      </c>
      <c r="Z50" s="53"/>
    </row>
    <row r="51" spans="3:26" x14ac:dyDescent="0.25">
      <c r="C51" s="52"/>
      <c r="D51" s="64" t="s">
        <v>88</v>
      </c>
      <c r="E51" s="65" t="e">
        <v>#REF!</v>
      </c>
      <c r="F51" s="65" t="e">
        <v>#REF!</v>
      </c>
      <c r="G51" s="65" t="e">
        <v>#REF!</v>
      </c>
      <c r="H51" s="65" t="e">
        <v>#REF!</v>
      </c>
      <c r="I51" s="65" t="e">
        <v>#REF!</v>
      </c>
      <c r="J51" s="65" t="e">
        <v>#REF!</v>
      </c>
      <c r="K51" s="65" t="e">
        <v>#REF!</v>
      </c>
      <c r="L51" s="65" t="e">
        <v>#REF!</v>
      </c>
      <c r="M51" s="65" t="e">
        <v>#REF!</v>
      </c>
      <c r="N51" s="65" t="e">
        <v>#REF!</v>
      </c>
      <c r="O51" s="65" t="e">
        <v>#REF!</v>
      </c>
      <c r="P51" s="65" t="e">
        <v>#REF!</v>
      </c>
      <c r="Q51" s="65" t="e">
        <v>#REF!</v>
      </c>
      <c r="R51" s="65" t="e">
        <v>#REF!</v>
      </c>
      <c r="S51" s="65" t="e">
        <v>#REF!</v>
      </c>
      <c r="T51" s="65" t="e">
        <v>#REF!</v>
      </c>
      <c r="U51" s="65" t="e">
        <v>#REF!</v>
      </c>
      <c r="V51" s="65" t="e">
        <v>#REF!</v>
      </c>
      <c r="W51" s="65" t="e">
        <v>#REF!</v>
      </c>
      <c r="X51" s="65" t="e">
        <v>#REF!</v>
      </c>
      <c r="Y51" s="65" t="s">
        <v>89</v>
      </c>
      <c r="Z51" s="53"/>
    </row>
    <row r="52" spans="3:26" x14ac:dyDescent="0.25">
      <c r="C52" s="52">
        <f>'[1]06'!$AI100</f>
        <v>3</v>
      </c>
      <c r="D52" s="64" t="s">
        <v>90</v>
      </c>
      <c r="E52" s="76" t="e">
        <v>#REF!</v>
      </c>
      <c r="F52" s="77" t="e">
        <v>#REF!</v>
      </c>
      <c r="G52" s="77" t="e">
        <v>#REF!</v>
      </c>
      <c r="H52" s="66" t="e">
        <v>#REF!</v>
      </c>
      <c r="I52" s="65" t="e">
        <v>#REF!</v>
      </c>
      <c r="J52" s="65" t="e">
        <v>#REF!</v>
      </c>
      <c r="K52" s="65" t="e">
        <v>#REF!</v>
      </c>
      <c r="L52" s="65" t="e">
        <v>#REF!</v>
      </c>
      <c r="M52" s="65" t="e">
        <v>#REF!</v>
      </c>
      <c r="N52" s="65" t="e">
        <v>#REF!</v>
      </c>
      <c r="O52" s="65" t="e">
        <v>#REF!</v>
      </c>
      <c r="P52" s="65" t="e">
        <v>#REF!</v>
      </c>
      <c r="Q52" s="65" t="e">
        <v>#REF!</v>
      </c>
      <c r="R52" s="65" t="e">
        <v>#REF!</v>
      </c>
      <c r="S52" s="65" t="e">
        <v>#REF!</v>
      </c>
      <c r="T52" s="65" t="e">
        <v>#REF!</v>
      </c>
      <c r="U52" s="65" t="e">
        <v>#REF!</v>
      </c>
      <c r="V52" s="65" t="e">
        <v>#REF!</v>
      </c>
      <c r="W52" s="65" t="e">
        <v>#REF!</v>
      </c>
      <c r="X52" s="65" t="e">
        <v>#REF!</v>
      </c>
      <c r="Y52" s="65" t="s">
        <v>89</v>
      </c>
      <c r="Z52" s="53"/>
    </row>
    <row r="53" spans="3:26" x14ac:dyDescent="0.25">
      <c r="C53" s="52">
        <f>'[1]06'!$AJ100</f>
        <v>5</v>
      </c>
      <c r="D53" s="64" t="s">
        <v>91</v>
      </c>
      <c r="E53" s="78" t="e">
        <v>#REF!</v>
      </c>
      <c r="F53" s="79" t="e">
        <v>#REF!</v>
      </c>
      <c r="G53" s="79" t="e">
        <v>#REF!</v>
      </c>
      <c r="H53" s="77" t="e">
        <v>#REF!</v>
      </c>
      <c r="I53" s="77" t="e">
        <v>#REF!</v>
      </c>
      <c r="J53" s="65" t="e">
        <v>#REF!</v>
      </c>
      <c r="K53" s="65" t="e">
        <v>#REF!</v>
      </c>
      <c r="L53" s="65" t="e">
        <v>#REF!</v>
      </c>
      <c r="M53" s="65" t="e">
        <v>#REF!</v>
      </c>
      <c r="N53" s="65" t="e">
        <v>#REF!</v>
      </c>
      <c r="O53" s="65" t="e">
        <v>#REF!</v>
      </c>
      <c r="P53" s="65" t="e">
        <v>#REF!</v>
      </c>
      <c r="Q53" s="65" t="e">
        <v>#REF!</v>
      </c>
      <c r="R53" s="65" t="e">
        <v>#REF!</v>
      </c>
      <c r="S53" s="65" t="e">
        <v>#REF!</v>
      </c>
      <c r="T53" s="65" t="e">
        <v>#REF!</v>
      </c>
      <c r="U53" s="65" t="e">
        <v>#REF!</v>
      </c>
      <c r="V53" s="65" t="e">
        <v>#REF!</v>
      </c>
      <c r="W53" s="65" t="e">
        <v>#REF!</v>
      </c>
      <c r="X53" s="65" t="e">
        <v>#REF!</v>
      </c>
      <c r="Y53" s="65" t="s">
        <v>89</v>
      </c>
      <c r="Z53" s="53"/>
    </row>
    <row r="54" spans="3:26" x14ac:dyDescent="0.25">
      <c r="C54" s="52"/>
      <c r="D54" s="64" t="s">
        <v>92</v>
      </c>
      <c r="E54" s="65" t="e">
        <v>#REF!</v>
      </c>
      <c r="F54" s="65" t="e">
        <v>#REF!</v>
      </c>
      <c r="G54" s="65" t="e">
        <v>#REF!</v>
      </c>
      <c r="H54" s="65" t="e">
        <v>#REF!</v>
      </c>
      <c r="I54" s="65" t="e">
        <v>#REF!</v>
      </c>
      <c r="J54" s="65" t="e">
        <v>#REF!</v>
      </c>
      <c r="K54" s="65" t="e">
        <v>#REF!</v>
      </c>
      <c r="L54" s="65" t="e">
        <v>#REF!</v>
      </c>
      <c r="M54" s="65" t="e">
        <v>#REF!</v>
      </c>
      <c r="N54" s="65" t="e">
        <v>#REF!</v>
      </c>
      <c r="O54" s="65" t="e">
        <v>#REF!</v>
      </c>
      <c r="P54" s="65" t="e">
        <v>#REF!</v>
      </c>
      <c r="Q54" s="65" t="e">
        <v>#REF!</v>
      </c>
      <c r="R54" s="65" t="e">
        <v>#REF!</v>
      </c>
      <c r="S54" s="65" t="e">
        <v>#REF!</v>
      </c>
      <c r="T54" s="65" t="e">
        <v>#REF!</v>
      </c>
      <c r="U54" s="65" t="e">
        <v>#REF!</v>
      </c>
      <c r="V54" s="65" t="e">
        <v>#REF!</v>
      </c>
      <c r="W54" s="65" t="e">
        <v>#REF!</v>
      </c>
      <c r="X54" s="65" t="e">
        <v>#REF!</v>
      </c>
      <c r="Y54" s="65" t="s">
        <v>89</v>
      </c>
      <c r="Z54" s="53"/>
    </row>
    <row r="55" spans="3:26" x14ac:dyDescent="0.25">
      <c r="C55" s="52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3:26" x14ac:dyDescent="0.25">
      <c r="C56" s="69"/>
      <c r="D56" s="70"/>
      <c r="E56" s="70"/>
      <c r="F56" s="71" t="s">
        <v>93</v>
      </c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</row>
  </sheetData>
  <mergeCells count="13">
    <mergeCell ref="I1:N2"/>
    <mergeCell ref="J3:K3"/>
    <mergeCell ref="L3:M3"/>
    <mergeCell ref="D5:F5"/>
    <mergeCell ref="H5:J5"/>
    <mergeCell ref="M5:O5"/>
    <mergeCell ref="D49:Y49"/>
    <mergeCell ref="D7:Y7"/>
    <mergeCell ref="D14:Y14"/>
    <mergeCell ref="D21:Y21"/>
    <mergeCell ref="D28:Y28"/>
    <mergeCell ref="D35:Y35"/>
    <mergeCell ref="D42:Y42"/>
  </mergeCells>
  <conditionalFormatting sqref="Y25 Y32 Y39 Y46 Y18 W11:Y11 Y53">
    <cfRule type="containsText" dxfId="76" priority="77" stopIfTrue="1" operator="containsText" text="G-">
      <formula>NOT(ISERROR(SEARCH("G-",W11)))</formula>
    </cfRule>
  </conditionalFormatting>
  <conditionalFormatting sqref="W10:Y10 Y17 Y24 Y38 Y45 Y31 Y52">
    <cfRule type="containsText" dxfId="75" priority="76" stopIfTrue="1" operator="containsText" text="G-">
      <formula>NOT(ISERROR(SEARCH("G-",W10)))</formula>
    </cfRule>
  </conditionalFormatting>
  <conditionalFormatting sqref="G10">
    <cfRule type="expression" dxfId="74" priority="75">
      <formula>$DD10&gt;=3</formula>
    </cfRule>
  </conditionalFormatting>
  <conditionalFormatting sqref="F10">
    <cfRule type="expression" dxfId="73" priority="74">
      <formula>$DD10&gt;=2</formula>
    </cfRule>
  </conditionalFormatting>
  <conditionalFormatting sqref="G11">
    <cfRule type="expression" dxfId="72" priority="73">
      <formula>$DD11&gt;=3</formula>
    </cfRule>
  </conditionalFormatting>
  <conditionalFormatting sqref="F11">
    <cfRule type="expression" dxfId="71" priority="72">
      <formula>$DD11&gt;=2</formula>
    </cfRule>
  </conditionalFormatting>
  <conditionalFormatting sqref="H11">
    <cfRule type="expression" dxfId="70" priority="71">
      <formula>$DD11&gt;=4</formula>
    </cfRule>
  </conditionalFormatting>
  <conditionalFormatting sqref="I11">
    <cfRule type="expression" dxfId="69" priority="70">
      <formula>$DD11&gt;=5</formula>
    </cfRule>
  </conditionalFormatting>
  <conditionalFormatting sqref="E8:X12">
    <cfRule type="expression" dxfId="68" priority="69">
      <formula>E8="Lesbegueries"</formula>
    </cfRule>
  </conditionalFormatting>
  <conditionalFormatting sqref="W18:X18">
    <cfRule type="containsText" dxfId="67" priority="68" stopIfTrue="1" operator="containsText" text="G-">
      <formula>NOT(ISERROR(SEARCH("G-",W18)))</formula>
    </cfRule>
  </conditionalFormatting>
  <conditionalFormatting sqref="W17:X17">
    <cfRule type="containsText" dxfId="66" priority="67" stopIfTrue="1" operator="containsText" text="G-">
      <formula>NOT(ISERROR(SEARCH("G-",W17)))</formula>
    </cfRule>
  </conditionalFormatting>
  <conditionalFormatting sqref="E19:X19 G15:X16 J17:X18">
    <cfRule type="expression" dxfId="65" priority="66">
      <formula>E15="Lesbegueries"</formula>
    </cfRule>
  </conditionalFormatting>
  <conditionalFormatting sqref="W25:X25">
    <cfRule type="containsText" dxfId="64" priority="65" stopIfTrue="1" operator="containsText" text="G-">
      <formula>NOT(ISERROR(SEARCH("G-",W25)))</formula>
    </cfRule>
  </conditionalFormatting>
  <conditionalFormatting sqref="W24:X24">
    <cfRule type="containsText" dxfId="63" priority="64" stopIfTrue="1" operator="containsText" text="G-">
      <formula>NOT(ISERROR(SEARCH("G-",W24)))</formula>
    </cfRule>
  </conditionalFormatting>
  <conditionalFormatting sqref="E26:X26 G22:X23 J24:X25">
    <cfRule type="expression" dxfId="62" priority="63">
      <formula>E22="Lesbegueries"</formula>
    </cfRule>
  </conditionalFormatting>
  <conditionalFormatting sqref="W32:X32">
    <cfRule type="containsText" dxfId="61" priority="62" stopIfTrue="1" operator="containsText" text="G-">
      <formula>NOT(ISERROR(SEARCH("G-",W32)))</formula>
    </cfRule>
  </conditionalFormatting>
  <conditionalFormatting sqref="W31:X31">
    <cfRule type="containsText" dxfId="60" priority="61" stopIfTrue="1" operator="containsText" text="G-">
      <formula>NOT(ISERROR(SEARCH("G-",W31)))</formula>
    </cfRule>
  </conditionalFormatting>
  <conditionalFormatting sqref="E33:X33 G29:X30 J31:X32">
    <cfRule type="expression" dxfId="59" priority="60">
      <formula>E29="Lesbegueries"</formula>
    </cfRule>
  </conditionalFormatting>
  <conditionalFormatting sqref="W39:X39">
    <cfRule type="containsText" dxfId="58" priority="59" stopIfTrue="1" operator="containsText" text="G-">
      <formula>NOT(ISERROR(SEARCH("G-",W39)))</formula>
    </cfRule>
  </conditionalFormatting>
  <conditionalFormatting sqref="W38:X38">
    <cfRule type="containsText" dxfId="57" priority="58" stopIfTrue="1" operator="containsText" text="G-">
      <formula>NOT(ISERROR(SEARCH("G-",W38)))</formula>
    </cfRule>
  </conditionalFormatting>
  <conditionalFormatting sqref="E40:X40 G36:X37 J38:X39">
    <cfRule type="expression" dxfId="56" priority="57">
      <formula>E36="Lesbegueries"</formula>
    </cfRule>
  </conditionalFormatting>
  <conditionalFormatting sqref="W46:X46">
    <cfRule type="containsText" dxfId="55" priority="56" stopIfTrue="1" operator="containsText" text="G-">
      <formula>NOT(ISERROR(SEARCH("G-",W46)))</formula>
    </cfRule>
  </conditionalFormatting>
  <conditionalFormatting sqref="W45:X45">
    <cfRule type="containsText" dxfId="54" priority="55" stopIfTrue="1" operator="containsText" text="G-">
      <formula>NOT(ISERROR(SEARCH("G-",W45)))</formula>
    </cfRule>
  </conditionalFormatting>
  <conditionalFormatting sqref="E43:X44 E47:X47 J45:X46">
    <cfRule type="expression" dxfId="53" priority="54">
      <formula>E43="Lesbegueries"</formula>
    </cfRule>
  </conditionalFormatting>
  <conditionalFormatting sqref="W53:X53">
    <cfRule type="containsText" dxfId="52" priority="53" stopIfTrue="1" operator="containsText" text="G-">
      <formula>NOT(ISERROR(SEARCH("G-",W53)))</formula>
    </cfRule>
  </conditionalFormatting>
  <conditionalFormatting sqref="W52:X52">
    <cfRule type="containsText" dxfId="51" priority="52" stopIfTrue="1" operator="containsText" text="G-">
      <formula>NOT(ISERROR(SEARCH("G-",W52)))</formula>
    </cfRule>
  </conditionalFormatting>
  <conditionalFormatting sqref="E50:X51 E54:X54 J52:X53">
    <cfRule type="expression" dxfId="50" priority="51">
      <formula>E50="Lesbegueries"</formula>
    </cfRule>
  </conditionalFormatting>
  <conditionalFormatting sqref="E15:F16">
    <cfRule type="expression" dxfId="49" priority="50">
      <formula>E15="Lesbegueries"</formula>
    </cfRule>
  </conditionalFormatting>
  <conditionalFormatting sqref="E22:F23">
    <cfRule type="expression" dxfId="48" priority="49">
      <formula>E22="Lesbegueries"</formula>
    </cfRule>
  </conditionalFormatting>
  <conditionalFormatting sqref="E29:F30">
    <cfRule type="expression" dxfId="47" priority="48">
      <formula>E29="Lesbegueries"</formula>
    </cfRule>
  </conditionalFormatting>
  <conditionalFormatting sqref="E36:F37">
    <cfRule type="expression" dxfId="46" priority="47">
      <formula>E36="Lesbegueries"</formula>
    </cfRule>
  </conditionalFormatting>
  <conditionalFormatting sqref="E15:F16">
    <cfRule type="expression" dxfId="45" priority="46">
      <formula>E15="Lesbegueries"</formula>
    </cfRule>
  </conditionalFormatting>
  <conditionalFormatting sqref="E22:F23">
    <cfRule type="expression" dxfId="44" priority="45">
      <formula>E22="Lesbegueries"</formula>
    </cfRule>
  </conditionalFormatting>
  <conditionalFormatting sqref="E29:F30">
    <cfRule type="expression" dxfId="43" priority="44">
      <formula>E29="Lesbegueries"</formula>
    </cfRule>
  </conditionalFormatting>
  <conditionalFormatting sqref="E36:F37">
    <cfRule type="expression" dxfId="42" priority="43">
      <formula>E36="Lesbegueries"</formula>
    </cfRule>
  </conditionalFormatting>
  <conditionalFormatting sqref="G17">
    <cfRule type="expression" dxfId="41" priority="42">
      <formula>$DD17&gt;=3</formula>
    </cfRule>
  </conditionalFormatting>
  <conditionalFormatting sqref="F17">
    <cfRule type="expression" dxfId="40" priority="41">
      <formula>$DD17&gt;=2</formula>
    </cfRule>
  </conditionalFormatting>
  <conditionalFormatting sqref="G18">
    <cfRule type="expression" dxfId="39" priority="40">
      <formula>$DD18&gt;=3</formula>
    </cfRule>
  </conditionalFormatting>
  <conditionalFormatting sqref="F18">
    <cfRule type="expression" dxfId="38" priority="39">
      <formula>$DD18&gt;=2</formula>
    </cfRule>
  </conditionalFormatting>
  <conditionalFormatting sqref="H18">
    <cfRule type="expression" dxfId="37" priority="38">
      <formula>$DD18&gt;=4</formula>
    </cfRule>
  </conditionalFormatting>
  <conditionalFormatting sqref="I18">
    <cfRule type="expression" dxfId="36" priority="37">
      <formula>$DD18&gt;=5</formula>
    </cfRule>
  </conditionalFormatting>
  <conditionalFormatting sqref="E17:I18">
    <cfRule type="expression" dxfId="35" priority="36">
      <formula>E17="Lesbegueries"</formula>
    </cfRule>
  </conditionalFormatting>
  <conditionalFormatting sqref="G24">
    <cfRule type="expression" dxfId="34" priority="35">
      <formula>$DD24&gt;=3</formula>
    </cfRule>
  </conditionalFormatting>
  <conditionalFormatting sqref="F24">
    <cfRule type="expression" dxfId="33" priority="34">
      <formula>$DD24&gt;=2</formula>
    </cfRule>
  </conditionalFormatting>
  <conditionalFormatting sqref="G25">
    <cfRule type="expression" dxfId="32" priority="33">
      <formula>$DD25&gt;=3</formula>
    </cfRule>
  </conditionalFormatting>
  <conditionalFormatting sqref="F25">
    <cfRule type="expression" dxfId="31" priority="32">
      <formula>$DD25&gt;=2</formula>
    </cfRule>
  </conditionalFormatting>
  <conditionalFormatting sqref="H25">
    <cfRule type="expression" dxfId="30" priority="31">
      <formula>$DD25&gt;=4</formula>
    </cfRule>
  </conditionalFormatting>
  <conditionalFormatting sqref="I25">
    <cfRule type="expression" dxfId="29" priority="30">
      <formula>$DD25&gt;=5</formula>
    </cfRule>
  </conditionalFormatting>
  <conditionalFormatting sqref="E24:I25">
    <cfRule type="expression" dxfId="28" priority="29">
      <formula>E24="Lesbegueries"</formula>
    </cfRule>
  </conditionalFormatting>
  <conditionalFormatting sqref="G31">
    <cfRule type="expression" dxfId="27" priority="28">
      <formula>$DD31&gt;=3</formula>
    </cfRule>
  </conditionalFormatting>
  <conditionalFormatting sqref="F31">
    <cfRule type="expression" dxfId="26" priority="27">
      <formula>$DD31&gt;=2</formula>
    </cfRule>
  </conditionalFormatting>
  <conditionalFormatting sqref="G32">
    <cfRule type="expression" dxfId="25" priority="26">
      <formula>$DD32&gt;=3</formula>
    </cfRule>
  </conditionalFormatting>
  <conditionalFormatting sqref="F32">
    <cfRule type="expression" dxfId="24" priority="25">
      <formula>$DD32&gt;=2</formula>
    </cfRule>
  </conditionalFormatting>
  <conditionalFormatting sqref="H32">
    <cfRule type="expression" dxfId="23" priority="24">
      <formula>$DD32&gt;=4</formula>
    </cfRule>
  </conditionalFormatting>
  <conditionalFormatting sqref="I32">
    <cfRule type="expression" dxfId="22" priority="23">
      <formula>$DD32&gt;=5</formula>
    </cfRule>
  </conditionalFormatting>
  <conditionalFormatting sqref="E31:I32">
    <cfRule type="expression" dxfId="21" priority="22">
      <formula>E31="Lesbegueries"</formula>
    </cfRule>
  </conditionalFormatting>
  <conditionalFormatting sqref="G38">
    <cfRule type="expression" dxfId="20" priority="21">
      <formula>$DD38&gt;=3</formula>
    </cfRule>
  </conditionalFormatting>
  <conditionalFormatting sqref="F38">
    <cfRule type="expression" dxfId="19" priority="20">
      <formula>$DD38&gt;=2</formula>
    </cfRule>
  </conditionalFormatting>
  <conditionalFormatting sqref="G39">
    <cfRule type="expression" dxfId="18" priority="19">
      <formula>$DD39&gt;=3</formula>
    </cfRule>
  </conditionalFormatting>
  <conditionalFormatting sqref="F39">
    <cfRule type="expression" dxfId="17" priority="18">
      <formula>$DD39&gt;=2</formula>
    </cfRule>
  </conditionalFormatting>
  <conditionalFormatting sqref="H39">
    <cfRule type="expression" dxfId="16" priority="17">
      <formula>$DD39&gt;=4</formula>
    </cfRule>
  </conditionalFormatting>
  <conditionalFormatting sqref="I39">
    <cfRule type="expression" dxfId="15" priority="16">
      <formula>$DD39&gt;=5</formula>
    </cfRule>
  </conditionalFormatting>
  <conditionalFormatting sqref="E38:I39">
    <cfRule type="expression" dxfId="14" priority="15">
      <formula>E38="Lesbegueries"</formula>
    </cfRule>
  </conditionalFormatting>
  <conditionalFormatting sqref="G45">
    <cfRule type="expression" dxfId="13" priority="14">
      <formula>$DD45&gt;=3</formula>
    </cfRule>
  </conditionalFormatting>
  <conditionalFormatting sqref="F45">
    <cfRule type="expression" dxfId="12" priority="13">
      <formula>$DD45&gt;=2</formula>
    </cfRule>
  </conditionalFormatting>
  <conditionalFormatting sqref="G46">
    <cfRule type="expression" dxfId="11" priority="12">
      <formula>$DD46&gt;=3</formula>
    </cfRule>
  </conditionalFormatting>
  <conditionalFormatting sqref="F46">
    <cfRule type="expression" dxfId="10" priority="11">
      <formula>$DD46&gt;=2</formula>
    </cfRule>
  </conditionalFormatting>
  <conditionalFormatting sqref="H46">
    <cfRule type="expression" dxfId="9" priority="10">
      <formula>$DD46&gt;=4</formula>
    </cfRule>
  </conditionalFormatting>
  <conditionalFormatting sqref="I46">
    <cfRule type="expression" dxfId="8" priority="9">
      <formula>$DD46&gt;=5</formula>
    </cfRule>
  </conditionalFormatting>
  <conditionalFormatting sqref="E45:I46">
    <cfRule type="expression" dxfId="7" priority="8">
      <formula>E45="Lesbegueries"</formula>
    </cfRule>
  </conditionalFormatting>
  <conditionalFormatting sqref="G52">
    <cfRule type="expression" dxfId="6" priority="7">
      <formula>$DD52&gt;=3</formula>
    </cfRule>
  </conditionalFormatting>
  <conditionalFormatting sqref="F52">
    <cfRule type="expression" dxfId="5" priority="6">
      <formula>$DD52&gt;=2</formula>
    </cfRule>
  </conditionalFormatting>
  <conditionalFormatting sqref="G53">
    <cfRule type="expression" dxfId="4" priority="5">
      <formula>$DD53&gt;=3</formula>
    </cfRule>
  </conditionalFormatting>
  <conditionalFormatting sqref="F53">
    <cfRule type="expression" dxfId="3" priority="4">
      <formula>$DD53&gt;=2</formula>
    </cfRule>
  </conditionalFormatting>
  <conditionalFormatting sqref="H53">
    <cfRule type="expression" dxfId="2" priority="3">
      <formula>$DD53&gt;=4</formula>
    </cfRule>
  </conditionalFormatting>
  <conditionalFormatting sqref="I53">
    <cfRule type="expression" dxfId="1" priority="2">
      <formula>$DD53&gt;=5</formula>
    </cfRule>
  </conditionalFormatting>
  <conditionalFormatting sqref="E52:I53">
    <cfRule type="expression" dxfId="0" priority="1">
      <formula>E52="Lesbegueries"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7"/>
  <dimension ref="A1:FD63"/>
  <sheetViews>
    <sheetView workbookViewId="0">
      <selection activeCell="B4" sqref="B4"/>
    </sheetView>
  </sheetViews>
  <sheetFormatPr baseColWidth="10" defaultColWidth="10.85546875" defaultRowHeight="15.75" x14ac:dyDescent="0.25"/>
  <cols>
    <col min="1" max="1" width="20.140625" style="16" customWidth="1"/>
    <col min="2" max="17" width="5.85546875" style="16" customWidth="1"/>
    <col min="18" max="18" width="6.42578125" style="16" customWidth="1"/>
    <col min="19" max="20" width="5.85546875" style="16" customWidth="1"/>
    <col min="21" max="21" width="6.42578125" style="16" customWidth="1"/>
    <col min="22" max="23" width="5.85546875" style="16" customWidth="1"/>
    <col min="24" max="24" width="6.42578125" style="16" customWidth="1"/>
    <col min="25" max="160" width="5.85546875" style="16" customWidth="1"/>
    <col min="161" max="16384" width="10.85546875" style="16"/>
  </cols>
  <sheetData>
    <row r="1" spans="1:160" ht="16.5" thickBot="1" x14ac:dyDescent="0.3"/>
    <row r="2" spans="1:160" x14ac:dyDescent="0.25">
      <c r="A2" s="17" t="s">
        <v>56</v>
      </c>
      <c r="B2" s="129" t="s">
        <v>57</v>
      </c>
      <c r="C2" s="130" t="s">
        <v>58</v>
      </c>
      <c r="D2" s="131" t="s">
        <v>59</v>
      </c>
      <c r="E2" s="126">
        <v>1</v>
      </c>
      <c r="F2" s="127"/>
      <c r="G2" s="128"/>
      <c r="H2" s="126">
        <f>E2+1</f>
        <v>2</v>
      </c>
      <c r="I2" s="127"/>
      <c r="J2" s="128"/>
      <c r="K2" s="126">
        <f>H2+1</f>
        <v>3</v>
      </c>
      <c r="L2" s="127"/>
      <c r="M2" s="128"/>
      <c r="N2" s="126">
        <f>K2+1</f>
        <v>4</v>
      </c>
      <c r="O2" s="127"/>
      <c r="P2" s="128"/>
      <c r="Q2" s="126">
        <f>N2+1</f>
        <v>5</v>
      </c>
      <c r="R2" s="127"/>
      <c r="S2" s="128"/>
      <c r="T2" s="126">
        <f>Q2+1</f>
        <v>6</v>
      </c>
      <c r="U2" s="127"/>
      <c r="V2" s="128"/>
      <c r="W2" s="126">
        <f>T2+1</f>
        <v>7</v>
      </c>
      <c r="X2" s="127"/>
      <c r="Y2" s="128"/>
      <c r="Z2" s="126">
        <f>W2+1</f>
        <v>8</v>
      </c>
      <c r="AA2" s="127"/>
      <c r="AB2" s="128"/>
      <c r="AC2" s="126">
        <f>Z2+1</f>
        <v>9</v>
      </c>
      <c r="AD2" s="127"/>
      <c r="AE2" s="128"/>
      <c r="AF2" s="126">
        <f>AC2+1</f>
        <v>10</v>
      </c>
      <c r="AG2" s="127"/>
      <c r="AH2" s="128"/>
      <c r="AI2" s="126">
        <f>AF2+1</f>
        <v>11</v>
      </c>
      <c r="AJ2" s="127"/>
      <c r="AK2" s="128"/>
      <c r="AL2" s="126">
        <f>AI2+1</f>
        <v>12</v>
      </c>
      <c r="AM2" s="127"/>
      <c r="AN2" s="128"/>
      <c r="AO2" s="126">
        <f>AL2+1</f>
        <v>13</v>
      </c>
      <c r="AP2" s="127"/>
      <c r="AQ2" s="128"/>
      <c r="AR2" s="126">
        <f>AO2+1</f>
        <v>14</v>
      </c>
      <c r="AS2" s="127"/>
      <c r="AT2" s="128"/>
      <c r="AU2" s="126">
        <f>AR2+1</f>
        <v>15</v>
      </c>
      <c r="AV2" s="127"/>
      <c r="AW2" s="128"/>
      <c r="AX2" s="126">
        <f>AU2+1</f>
        <v>16</v>
      </c>
      <c r="AY2" s="127"/>
      <c r="AZ2" s="128"/>
      <c r="BA2" s="126">
        <f>AX2+1</f>
        <v>17</v>
      </c>
      <c r="BB2" s="127"/>
      <c r="BC2" s="128"/>
      <c r="BD2" s="126">
        <f>BA2+1</f>
        <v>18</v>
      </c>
      <c r="BE2" s="127"/>
      <c r="BF2" s="128"/>
      <c r="BG2" s="126">
        <f>BD2+1</f>
        <v>19</v>
      </c>
      <c r="BH2" s="127"/>
      <c r="BI2" s="128"/>
      <c r="BJ2" s="126">
        <f>BG2+1</f>
        <v>20</v>
      </c>
      <c r="BK2" s="127"/>
      <c r="BL2" s="128"/>
      <c r="BM2" s="126">
        <f>BJ2+1</f>
        <v>21</v>
      </c>
      <c r="BN2" s="127"/>
      <c r="BO2" s="128"/>
      <c r="BP2" s="126">
        <f>BM2+1</f>
        <v>22</v>
      </c>
      <c r="BQ2" s="127"/>
      <c r="BR2" s="128"/>
      <c r="BS2" s="126">
        <f>BP2+1</f>
        <v>23</v>
      </c>
      <c r="BT2" s="127"/>
      <c r="BU2" s="128"/>
      <c r="BV2" s="126">
        <f>BS2+1</f>
        <v>24</v>
      </c>
      <c r="BW2" s="127"/>
      <c r="BX2" s="128"/>
      <c r="BY2" s="126">
        <f>BV2+1</f>
        <v>25</v>
      </c>
      <c r="BZ2" s="127"/>
      <c r="CA2" s="128"/>
      <c r="CB2" s="126">
        <f>BY2+1</f>
        <v>26</v>
      </c>
      <c r="CC2" s="127"/>
      <c r="CD2" s="128"/>
      <c r="CE2" s="126">
        <f>CB2+1</f>
        <v>27</v>
      </c>
      <c r="CF2" s="127"/>
      <c r="CG2" s="128"/>
      <c r="CH2" s="126">
        <f>CE2+1</f>
        <v>28</v>
      </c>
      <c r="CI2" s="127"/>
      <c r="CJ2" s="128"/>
      <c r="CK2" s="126">
        <f>CH2+1</f>
        <v>29</v>
      </c>
      <c r="CL2" s="127"/>
      <c r="CM2" s="128"/>
      <c r="CN2" s="126">
        <f>CK2+1</f>
        <v>30</v>
      </c>
      <c r="CO2" s="127"/>
      <c r="CP2" s="128"/>
      <c r="CQ2" s="126">
        <f>CN2+1</f>
        <v>31</v>
      </c>
      <c r="CR2" s="127"/>
      <c r="CS2" s="128"/>
      <c r="CT2" s="126">
        <f>CQ2+1</f>
        <v>32</v>
      </c>
      <c r="CU2" s="127"/>
      <c r="CV2" s="128"/>
      <c r="CW2" s="126">
        <f>CT2+1</f>
        <v>33</v>
      </c>
      <c r="CX2" s="127"/>
      <c r="CY2" s="128"/>
      <c r="CZ2" s="126">
        <f>CW2+1</f>
        <v>34</v>
      </c>
      <c r="DA2" s="127"/>
      <c r="DB2" s="128"/>
      <c r="DC2" s="126">
        <f>CZ2+1</f>
        <v>35</v>
      </c>
      <c r="DD2" s="127"/>
      <c r="DE2" s="128"/>
      <c r="DF2" s="126">
        <f>DC2+1</f>
        <v>36</v>
      </c>
      <c r="DG2" s="127"/>
      <c r="DH2" s="128"/>
      <c r="DI2" s="126">
        <f>DF2+1</f>
        <v>37</v>
      </c>
      <c r="DJ2" s="127"/>
      <c r="DK2" s="128"/>
      <c r="DL2" s="126">
        <f>DI2+1</f>
        <v>38</v>
      </c>
      <c r="DM2" s="127"/>
      <c r="DN2" s="128"/>
      <c r="DO2" s="126">
        <f>DL2+1</f>
        <v>39</v>
      </c>
      <c r="DP2" s="127"/>
      <c r="DQ2" s="128"/>
      <c r="DR2" s="126">
        <f>DO2+1</f>
        <v>40</v>
      </c>
      <c r="DS2" s="127"/>
      <c r="DT2" s="128"/>
      <c r="DU2" s="126">
        <f>DR2+1</f>
        <v>41</v>
      </c>
      <c r="DV2" s="127"/>
      <c r="DW2" s="128"/>
      <c r="DX2" s="126">
        <f>DU2+1</f>
        <v>42</v>
      </c>
      <c r="DY2" s="127"/>
      <c r="DZ2" s="128"/>
      <c r="EA2" s="126">
        <f>DX2+1</f>
        <v>43</v>
      </c>
      <c r="EB2" s="127"/>
      <c r="EC2" s="128"/>
      <c r="ED2" s="126">
        <f>EA2+1</f>
        <v>44</v>
      </c>
      <c r="EE2" s="127"/>
      <c r="EF2" s="128"/>
      <c r="EG2" s="126">
        <f>ED2+1</f>
        <v>45</v>
      </c>
      <c r="EH2" s="127"/>
      <c r="EI2" s="128"/>
      <c r="EJ2" s="126">
        <f>EG2+1</f>
        <v>46</v>
      </c>
      <c r="EK2" s="127"/>
      <c r="EL2" s="128"/>
      <c r="EM2" s="126">
        <f>EJ2+1</f>
        <v>47</v>
      </c>
      <c r="EN2" s="127"/>
      <c r="EO2" s="128"/>
      <c r="EP2" s="126">
        <f>EM2+1</f>
        <v>48</v>
      </c>
      <c r="EQ2" s="127"/>
      <c r="ER2" s="128"/>
      <c r="ES2" s="126">
        <f>EP2+1</f>
        <v>49</v>
      </c>
      <c r="ET2" s="127"/>
      <c r="EU2" s="128"/>
      <c r="EV2" s="126">
        <f>ES2+1</f>
        <v>50</v>
      </c>
      <c r="EW2" s="127"/>
      <c r="EX2" s="128"/>
      <c r="EY2" s="126">
        <f>EV2+1</f>
        <v>51</v>
      </c>
      <c r="EZ2" s="127"/>
      <c r="FA2" s="128"/>
      <c r="FB2" s="126">
        <f>EY2+1</f>
        <v>52</v>
      </c>
      <c r="FC2" s="127"/>
      <c r="FD2" s="128"/>
    </row>
    <row r="3" spans="1:160" ht="16.5" thickBot="1" x14ac:dyDescent="0.3">
      <c r="A3" s="18"/>
      <c r="B3" s="19" t="s">
        <v>60</v>
      </c>
      <c r="C3" s="20" t="s">
        <v>58</v>
      </c>
      <c r="D3" s="21" t="s">
        <v>61</v>
      </c>
      <c r="E3" s="22" t="s">
        <v>60</v>
      </c>
      <c r="F3" s="23" t="s">
        <v>58</v>
      </c>
      <c r="G3" s="24" t="s">
        <v>61</v>
      </c>
      <c r="H3" s="22" t="s">
        <v>60</v>
      </c>
      <c r="I3" s="23" t="s">
        <v>58</v>
      </c>
      <c r="J3" s="24" t="s">
        <v>61</v>
      </c>
      <c r="K3" s="22" t="s">
        <v>60</v>
      </c>
      <c r="L3" s="23" t="s">
        <v>58</v>
      </c>
      <c r="M3" s="24" t="s">
        <v>61</v>
      </c>
      <c r="N3" s="22" t="s">
        <v>60</v>
      </c>
      <c r="O3" s="23" t="s">
        <v>58</v>
      </c>
      <c r="P3" s="24" t="s">
        <v>61</v>
      </c>
      <c r="Q3" s="22" t="s">
        <v>60</v>
      </c>
      <c r="R3" s="23" t="s">
        <v>58</v>
      </c>
      <c r="S3" s="24" t="s">
        <v>61</v>
      </c>
      <c r="T3" s="22" t="s">
        <v>60</v>
      </c>
      <c r="U3" s="23" t="s">
        <v>58</v>
      </c>
      <c r="V3" s="24" t="s">
        <v>61</v>
      </c>
      <c r="W3" s="22" t="s">
        <v>60</v>
      </c>
      <c r="X3" s="23" t="s">
        <v>58</v>
      </c>
      <c r="Y3" s="24" t="s">
        <v>61</v>
      </c>
      <c r="Z3" s="22" t="s">
        <v>60</v>
      </c>
      <c r="AA3" s="23" t="s">
        <v>58</v>
      </c>
      <c r="AB3" s="24" t="s">
        <v>61</v>
      </c>
      <c r="AC3" s="22" t="s">
        <v>60</v>
      </c>
      <c r="AD3" s="23" t="s">
        <v>58</v>
      </c>
      <c r="AE3" s="24" t="s">
        <v>61</v>
      </c>
      <c r="AF3" s="22" t="s">
        <v>60</v>
      </c>
      <c r="AG3" s="23" t="s">
        <v>58</v>
      </c>
      <c r="AH3" s="24" t="s">
        <v>61</v>
      </c>
      <c r="AI3" s="22" t="s">
        <v>60</v>
      </c>
      <c r="AJ3" s="23" t="s">
        <v>58</v>
      </c>
      <c r="AK3" s="24" t="s">
        <v>61</v>
      </c>
      <c r="AL3" s="22" t="s">
        <v>60</v>
      </c>
      <c r="AM3" s="23" t="s">
        <v>58</v>
      </c>
      <c r="AN3" s="24" t="s">
        <v>61</v>
      </c>
      <c r="AO3" s="22" t="s">
        <v>60</v>
      </c>
      <c r="AP3" s="23" t="s">
        <v>58</v>
      </c>
      <c r="AQ3" s="24" t="s">
        <v>61</v>
      </c>
      <c r="AR3" s="22" t="s">
        <v>60</v>
      </c>
      <c r="AS3" s="23" t="s">
        <v>58</v>
      </c>
      <c r="AT3" s="24" t="s">
        <v>61</v>
      </c>
      <c r="AU3" s="22" t="s">
        <v>60</v>
      </c>
      <c r="AV3" s="23" t="s">
        <v>58</v>
      </c>
      <c r="AW3" s="24" t="s">
        <v>61</v>
      </c>
      <c r="AX3" s="22" t="s">
        <v>60</v>
      </c>
      <c r="AY3" s="23" t="s">
        <v>58</v>
      </c>
      <c r="AZ3" s="24" t="s">
        <v>61</v>
      </c>
      <c r="BA3" s="22" t="s">
        <v>60</v>
      </c>
      <c r="BB3" s="23" t="s">
        <v>58</v>
      </c>
      <c r="BC3" s="24" t="s">
        <v>61</v>
      </c>
      <c r="BD3" s="22" t="s">
        <v>60</v>
      </c>
      <c r="BE3" s="23" t="s">
        <v>58</v>
      </c>
      <c r="BF3" s="24" t="s">
        <v>61</v>
      </c>
      <c r="BG3" s="22" t="s">
        <v>60</v>
      </c>
      <c r="BH3" s="23" t="s">
        <v>58</v>
      </c>
      <c r="BI3" s="24" t="s">
        <v>61</v>
      </c>
      <c r="BJ3" s="22" t="s">
        <v>60</v>
      </c>
      <c r="BK3" s="23" t="s">
        <v>58</v>
      </c>
      <c r="BL3" s="24" t="s">
        <v>61</v>
      </c>
      <c r="BM3" s="22" t="s">
        <v>60</v>
      </c>
      <c r="BN3" s="23" t="s">
        <v>58</v>
      </c>
      <c r="BO3" s="24" t="s">
        <v>61</v>
      </c>
      <c r="BP3" s="22" t="s">
        <v>60</v>
      </c>
      <c r="BQ3" s="23" t="s">
        <v>58</v>
      </c>
      <c r="BR3" s="24" t="s">
        <v>61</v>
      </c>
      <c r="BS3" s="22" t="s">
        <v>60</v>
      </c>
      <c r="BT3" s="23" t="s">
        <v>58</v>
      </c>
      <c r="BU3" s="24" t="s">
        <v>61</v>
      </c>
      <c r="BV3" s="22" t="s">
        <v>60</v>
      </c>
      <c r="BW3" s="23" t="s">
        <v>58</v>
      </c>
      <c r="BX3" s="24" t="s">
        <v>61</v>
      </c>
      <c r="BY3" s="22" t="s">
        <v>60</v>
      </c>
      <c r="BZ3" s="23" t="s">
        <v>58</v>
      </c>
      <c r="CA3" s="24" t="s">
        <v>61</v>
      </c>
      <c r="CB3" s="22" t="s">
        <v>60</v>
      </c>
      <c r="CC3" s="23" t="s">
        <v>58</v>
      </c>
      <c r="CD3" s="24" t="s">
        <v>61</v>
      </c>
      <c r="CE3" s="22" t="s">
        <v>60</v>
      </c>
      <c r="CF3" s="23" t="s">
        <v>58</v>
      </c>
      <c r="CG3" s="24" t="s">
        <v>61</v>
      </c>
      <c r="CH3" s="22" t="s">
        <v>60</v>
      </c>
      <c r="CI3" s="23" t="s">
        <v>58</v>
      </c>
      <c r="CJ3" s="24" t="s">
        <v>61</v>
      </c>
      <c r="CK3" s="22" t="s">
        <v>60</v>
      </c>
      <c r="CL3" s="23" t="s">
        <v>58</v>
      </c>
      <c r="CM3" s="24" t="s">
        <v>61</v>
      </c>
      <c r="CN3" s="22" t="s">
        <v>60</v>
      </c>
      <c r="CO3" s="23" t="s">
        <v>58</v>
      </c>
      <c r="CP3" s="24" t="s">
        <v>61</v>
      </c>
      <c r="CQ3" s="22" t="s">
        <v>60</v>
      </c>
      <c r="CR3" s="23" t="s">
        <v>58</v>
      </c>
      <c r="CS3" s="24" t="s">
        <v>61</v>
      </c>
      <c r="CT3" s="22" t="s">
        <v>60</v>
      </c>
      <c r="CU3" s="23" t="s">
        <v>58</v>
      </c>
      <c r="CV3" s="24" t="s">
        <v>61</v>
      </c>
      <c r="CW3" s="22" t="s">
        <v>60</v>
      </c>
      <c r="CX3" s="23" t="s">
        <v>58</v>
      </c>
      <c r="CY3" s="24" t="s">
        <v>61</v>
      </c>
      <c r="CZ3" s="22" t="s">
        <v>60</v>
      </c>
      <c r="DA3" s="23" t="s">
        <v>58</v>
      </c>
      <c r="DB3" s="24" t="s">
        <v>61</v>
      </c>
      <c r="DC3" s="22" t="s">
        <v>60</v>
      </c>
      <c r="DD3" s="23" t="s">
        <v>58</v>
      </c>
      <c r="DE3" s="24" t="s">
        <v>61</v>
      </c>
      <c r="DF3" s="22" t="s">
        <v>60</v>
      </c>
      <c r="DG3" s="23" t="s">
        <v>58</v>
      </c>
      <c r="DH3" s="24" t="s">
        <v>61</v>
      </c>
      <c r="DI3" s="22" t="s">
        <v>60</v>
      </c>
      <c r="DJ3" s="23" t="s">
        <v>58</v>
      </c>
      <c r="DK3" s="24" t="s">
        <v>61</v>
      </c>
      <c r="DL3" s="22" t="s">
        <v>60</v>
      </c>
      <c r="DM3" s="23" t="s">
        <v>58</v>
      </c>
      <c r="DN3" s="24" t="s">
        <v>61</v>
      </c>
      <c r="DO3" s="22" t="s">
        <v>60</v>
      </c>
      <c r="DP3" s="23" t="s">
        <v>58</v>
      </c>
      <c r="DQ3" s="24" t="s">
        <v>61</v>
      </c>
      <c r="DR3" s="22" t="s">
        <v>60</v>
      </c>
      <c r="DS3" s="23" t="s">
        <v>58</v>
      </c>
      <c r="DT3" s="24" t="s">
        <v>61</v>
      </c>
      <c r="DU3" s="22" t="s">
        <v>60</v>
      </c>
      <c r="DV3" s="23" t="s">
        <v>58</v>
      </c>
      <c r="DW3" s="24" t="s">
        <v>61</v>
      </c>
      <c r="DX3" s="22" t="s">
        <v>60</v>
      </c>
      <c r="DY3" s="23" t="s">
        <v>58</v>
      </c>
      <c r="DZ3" s="24" t="s">
        <v>61</v>
      </c>
      <c r="EA3" s="22" t="s">
        <v>60</v>
      </c>
      <c r="EB3" s="23" t="s">
        <v>58</v>
      </c>
      <c r="EC3" s="24" t="s">
        <v>61</v>
      </c>
      <c r="ED3" s="22" t="s">
        <v>60</v>
      </c>
      <c r="EE3" s="23" t="s">
        <v>58</v>
      </c>
      <c r="EF3" s="24" t="s">
        <v>61</v>
      </c>
      <c r="EG3" s="22" t="s">
        <v>60</v>
      </c>
      <c r="EH3" s="23" t="s">
        <v>58</v>
      </c>
      <c r="EI3" s="24" t="s">
        <v>61</v>
      </c>
      <c r="EJ3" s="22" t="s">
        <v>60</v>
      </c>
      <c r="EK3" s="23" t="s">
        <v>58</v>
      </c>
      <c r="EL3" s="24" t="s">
        <v>61</v>
      </c>
      <c r="EM3" s="22" t="s">
        <v>60</v>
      </c>
      <c r="EN3" s="23" t="s">
        <v>58</v>
      </c>
      <c r="EO3" s="24" t="s">
        <v>61</v>
      </c>
      <c r="EP3" s="22" t="s">
        <v>60</v>
      </c>
      <c r="EQ3" s="23" t="s">
        <v>58</v>
      </c>
      <c r="ER3" s="24" t="s">
        <v>61</v>
      </c>
      <c r="ES3" s="22" t="s">
        <v>60</v>
      </c>
      <c r="ET3" s="23" t="s">
        <v>58</v>
      </c>
      <c r="EU3" s="24" t="s">
        <v>61</v>
      </c>
      <c r="EV3" s="22" t="s">
        <v>60</v>
      </c>
      <c r="EW3" s="23" t="s">
        <v>58</v>
      </c>
      <c r="EX3" s="24" t="s">
        <v>61</v>
      </c>
      <c r="EY3" s="22" t="s">
        <v>60</v>
      </c>
      <c r="EZ3" s="23" t="s">
        <v>58</v>
      </c>
      <c r="FA3" s="24" t="s">
        <v>61</v>
      </c>
      <c r="FB3" s="22" t="s">
        <v>60</v>
      </c>
      <c r="FC3" s="23" t="s">
        <v>58</v>
      </c>
      <c r="FD3" s="24" t="s">
        <v>61</v>
      </c>
    </row>
    <row r="4" spans="1:160" x14ac:dyDescent="0.25">
      <c r="A4" s="25" t="s">
        <v>62</v>
      </c>
      <c r="B4" s="26">
        <f t="shared" ref="B4:D23" si="0">SUMIF($E$3:$FD$3,B$3,$E4:$FD4)</f>
        <v>0</v>
      </c>
      <c r="C4" s="27">
        <f t="shared" si="0"/>
        <v>0</v>
      </c>
      <c r="D4" s="28">
        <f t="shared" si="0"/>
        <v>0</v>
      </c>
      <c r="E4" s="29">
        <v>0</v>
      </c>
      <c r="F4" s="30"/>
      <c r="G4" s="31"/>
      <c r="H4" s="29">
        <v>0</v>
      </c>
      <c r="I4" s="30"/>
      <c r="J4" s="31"/>
      <c r="K4" s="29">
        <v>0</v>
      </c>
      <c r="L4" s="30"/>
      <c r="M4" s="31"/>
      <c r="N4" s="29">
        <v>0</v>
      </c>
      <c r="O4" s="30"/>
      <c r="P4" s="31"/>
      <c r="Q4" s="29">
        <f>IFERROR(VLOOKUP($A4,'[1]05'!$A$4:$BH$96,54,FALSE),0)</f>
        <v>0</v>
      </c>
      <c r="R4" s="29">
        <f>IFERROR(VLOOKUP($A4,'[1]05'!$A$4:$BH$96,55,FALSE),0)</f>
        <v>0</v>
      </c>
      <c r="S4" s="31">
        <f>IFERROR(VLOOKUP($A4,'[1]05'!$A$4:$BH$96,56,FALSE),0)</f>
        <v>0</v>
      </c>
      <c r="T4" s="29">
        <f>IFERROR(VLOOKUP($A4,'[1]06'!$A$4:$BK$96,54,FALSE),0)</f>
        <v>0</v>
      </c>
      <c r="U4" s="29">
        <f>IFERROR(VLOOKUP($A4,'[1]06'!$A$4:$BK$96,56,FALSE),0)</f>
        <v>0</v>
      </c>
      <c r="V4" s="31">
        <f>IFERROR(VLOOKUP($A4,'[1]06'!$A$4:$BK$96,58,FALSE),0)</f>
        <v>0</v>
      </c>
      <c r="W4" s="29">
        <f>IFERROR(VLOOKUP($A4,'[1]06'!$A$4:$BK$96,54,FALSE),0)</f>
        <v>0</v>
      </c>
      <c r="X4" s="29">
        <f>IFERROR(VLOOKUP($A4,'[1]06'!$A$4:$BK$96,56,FALSE),0)</f>
        <v>0</v>
      </c>
      <c r="Y4" s="31">
        <f>IFERROR(VLOOKUP($A4,'[1]06'!$A$4:$BK$96,58,FALSE),0)</f>
        <v>0</v>
      </c>
      <c r="Z4" s="29"/>
      <c r="AA4" s="30"/>
      <c r="AB4" s="31"/>
      <c r="AC4" s="29"/>
      <c r="AD4" s="30"/>
      <c r="AE4" s="31"/>
      <c r="AF4" s="29"/>
      <c r="AG4" s="30"/>
      <c r="AH4" s="31"/>
      <c r="AI4" s="29"/>
      <c r="AJ4" s="30"/>
      <c r="AK4" s="31"/>
      <c r="AL4" s="29"/>
      <c r="AM4" s="30"/>
      <c r="AN4" s="31"/>
      <c r="AO4" s="29"/>
      <c r="AP4" s="30"/>
      <c r="AQ4" s="31"/>
      <c r="AR4" s="29"/>
      <c r="AS4" s="30"/>
      <c r="AT4" s="31"/>
      <c r="AU4" s="29"/>
      <c r="AV4" s="30"/>
      <c r="AW4" s="31"/>
      <c r="AX4" s="29"/>
      <c r="AY4" s="30"/>
      <c r="AZ4" s="31"/>
      <c r="BA4" s="29"/>
      <c r="BB4" s="30"/>
      <c r="BC4" s="31"/>
      <c r="BD4" s="29"/>
      <c r="BE4" s="30"/>
      <c r="BF4" s="31"/>
      <c r="BG4" s="29"/>
      <c r="BH4" s="30"/>
      <c r="BI4" s="31"/>
      <c r="BJ4" s="29"/>
      <c r="BK4" s="30"/>
      <c r="BL4" s="31"/>
      <c r="BM4" s="29"/>
      <c r="BN4" s="30"/>
      <c r="BO4" s="31"/>
      <c r="BP4" s="29"/>
      <c r="BQ4" s="30"/>
      <c r="BR4" s="31"/>
      <c r="BS4" s="29"/>
      <c r="BT4" s="30"/>
      <c r="BU4" s="31"/>
      <c r="BV4" s="29"/>
      <c r="BW4" s="30"/>
      <c r="BX4" s="31"/>
      <c r="BY4" s="29"/>
      <c r="BZ4" s="30"/>
      <c r="CA4" s="31"/>
      <c r="CB4" s="29"/>
      <c r="CC4" s="30"/>
      <c r="CD4" s="31"/>
      <c r="CE4" s="29"/>
      <c r="CF4" s="30"/>
      <c r="CG4" s="31"/>
      <c r="CH4" s="29"/>
      <c r="CI4" s="30"/>
      <c r="CJ4" s="31"/>
      <c r="CK4" s="29"/>
      <c r="CL4" s="30"/>
      <c r="CM4" s="31"/>
      <c r="CN4" s="29"/>
      <c r="CO4" s="30"/>
      <c r="CP4" s="31"/>
      <c r="CQ4" s="29"/>
      <c r="CR4" s="30"/>
      <c r="CS4" s="31"/>
      <c r="CT4" s="29"/>
      <c r="CU4" s="30"/>
      <c r="CV4" s="31"/>
      <c r="CW4" s="29"/>
      <c r="CX4" s="30"/>
      <c r="CY4" s="31"/>
      <c r="CZ4" s="29"/>
      <c r="DA4" s="30"/>
      <c r="DB4" s="31"/>
      <c r="DC4" s="29"/>
      <c r="DD4" s="30"/>
      <c r="DE4" s="31"/>
      <c r="DF4" s="29"/>
      <c r="DG4" s="30"/>
      <c r="DH4" s="31"/>
      <c r="DI4" s="29"/>
      <c r="DJ4" s="30"/>
      <c r="DK4" s="31"/>
      <c r="DL4" s="29"/>
      <c r="DM4" s="30"/>
      <c r="DN4" s="31"/>
      <c r="DO4" s="29"/>
      <c r="DP4" s="30"/>
      <c r="DQ4" s="31"/>
      <c r="DR4" s="29"/>
      <c r="DS4" s="30"/>
      <c r="DT4" s="31"/>
      <c r="DU4" s="29"/>
      <c r="DV4" s="30"/>
      <c r="DW4" s="31"/>
      <c r="DX4" s="29"/>
      <c r="DY4" s="30"/>
      <c r="DZ4" s="31"/>
      <c r="EA4" s="29"/>
      <c r="EB4" s="30"/>
      <c r="EC4" s="31"/>
      <c r="ED4" s="29"/>
      <c r="EE4" s="30"/>
      <c r="EF4" s="31"/>
      <c r="EG4" s="29"/>
      <c r="EH4" s="30"/>
      <c r="EI4" s="31"/>
      <c r="EJ4" s="29"/>
      <c r="EK4" s="30"/>
      <c r="EL4" s="31"/>
      <c r="EM4" s="29"/>
      <c r="EN4" s="30"/>
      <c r="EO4" s="31"/>
      <c r="EP4" s="29"/>
      <c r="EQ4" s="30"/>
      <c r="ER4" s="31"/>
      <c r="ES4" s="29"/>
      <c r="ET4" s="30"/>
      <c r="EU4" s="31"/>
      <c r="EV4" s="29"/>
      <c r="EW4" s="30"/>
      <c r="EX4" s="31"/>
      <c r="EY4" s="29"/>
      <c r="EZ4" s="30"/>
      <c r="FA4" s="31"/>
      <c r="FB4" s="29"/>
      <c r="FC4" s="30"/>
      <c r="FD4" s="31"/>
    </row>
    <row r="5" spans="1:160" x14ac:dyDescent="0.25">
      <c r="A5" s="32" t="s">
        <v>7</v>
      </c>
      <c r="B5" s="33">
        <f t="shared" si="0"/>
        <v>4</v>
      </c>
      <c r="C5" s="34">
        <f t="shared" si="0"/>
        <v>1</v>
      </c>
      <c r="D5" s="35">
        <f t="shared" si="0"/>
        <v>0</v>
      </c>
      <c r="E5" s="36">
        <v>2</v>
      </c>
      <c r="F5" s="37"/>
      <c r="G5" s="38"/>
      <c r="H5" s="36">
        <v>1</v>
      </c>
      <c r="I5" s="37"/>
      <c r="J5" s="38"/>
      <c r="K5" s="36">
        <v>0</v>
      </c>
      <c r="L5" s="37"/>
      <c r="M5" s="38"/>
      <c r="N5" s="36">
        <v>0</v>
      </c>
      <c r="O5" s="37"/>
      <c r="P5" s="38"/>
      <c r="Q5" s="29">
        <f>IFERROR(VLOOKUP($A5,'[1]05'!$A$4:$BH$96,54,FALSE),0)</f>
        <v>1</v>
      </c>
      <c r="R5" s="37">
        <f>IFERROR(VLOOKUP($A5,'[1]05'!$A$4:$BH$96,55,FALSE),0)</f>
        <v>1</v>
      </c>
      <c r="S5" s="38">
        <f>IFERROR(VLOOKUP($A5,'[1]05'!$A$4:$BH$96,56,FALSE),0)</f>
        <v>0</v>
      </c>
      <c r="T5" s="29">
        <f>IFERROR(VLOOKUP($A5,'[1]06'!$A$4:$BK$96,54,FALSE),0)</f>
        <v>0</v>
      </c>
      <c r="U5" s="37">
        <f>IFERROR(VLOOKUP($A5,'[1]06'!$A$4:$BK$96,56,FALSE),0)</f>
        <v>0</v>
      </c>
      <c r="V5" s="38">
        <f>IFERROR(VLOOKUP($A5,'[1]06'!$A$4:$BK$96,58,FALSE),0)</f>
        <v>0</v>
      </c>
      <c r="W5" s="29">
        <f>IFERROR(VLOOKUP($A5,'[1]06'!$A$4:$BK$96,54,FALSE),0)</f>
        <v>0</v>
      </c>
      <c r="X5" s="37">
        <f>IFERROR(VLOOKUP($A5,'[1]06'!$A$4:$BK$96,56,FALSE),0)</f>
        <v>0</v>
      </c>
      <c r="Y5" s="38">
        <f>IFERROR(VLOOKUP($A5,'[1]06'!$A$4:$BK$96,58,FALSE),0)</f>
        <v>0</v>
      </c>
      <c r="Z5" s="36"/>
      <c r="AA5" s="37"/>
      <c r="AB5" s="38"/>
      <c r="AC5" s="36"/>
      <c r="AD5" s="37"/>
      <c r="AE5" s="38"/>
      <c r="AF5" s="36"/>
      <c r="AG5" s="37"/>
      <c r="AH5" s="38"/>
      <c r="AI5" s="36"/>
      <c r="AJ5" s="37"/>
      <c r="AK5" s="38"/>
      <c r="AL5" s="36"/>
      <c r="AM5" s="37"/>
      <c r="AN5" s="38"/>
      <c r="AO5" s="36"/>
      <c r="AP5" s="37"/>
      <c r="AQ5" s="38"/>
      <c r="AR5" s="36"/>
      <c r="AS5" s="37"/>
      <c r="AT5" s="38"/>
      <c r="AU5" s="36"/>
      <c r="AV5" s="37"/>
      <c r="AW5" s="38"/>
      <c r="AX5" s="36"/>
      <c r="AY5" s="37"/>
      <c r="AZ5" s="38"/>
      <c r="BA5" s="36"/>
      <c r="BB5" s="37"/>
      <c r="BC5" s="38"/>
      <c r="BD5" s="36"/>
      <c r="BE5" s="37"/>
      <c r="BF5" s="38"/>
      <c r="BG5" s="36"/>
      <c r="BH5" s="37"/>
      <c r="BI5" s="38"/>
      <c r="BJ5" s="36"/>
      <c r="BK5" s="37"/>
      <c r="BL5" s="38"/>
      <c r="BM5" s="36"/>
      <c r="BN5" s="37"/>
      <c r="BO5" s="38"/>
      <c r="BP5" s="36"/>
      <c r="BQ5" s="37"/>
      <c r="BR5" s="38"/>
      <c r="BS5" s="36"/>
      <c r="BT5" s="37"/>
      <c r="BU5" s="38"/>
      <c r="BV5" s="36"/>
      <c r="BW5" s="37"/>
      <c r="BX5" s="38"/>
      <c r="BY5" s="36"/>
      <c r="BZ5" s="37"/>
      <c r="CA5" s="38"/>
      <c r="CB5" s="36"/>
      <c r="CC5" s="37"/>
      <c r="CD5" s="38"/>
      <c r="CE5" s="36"/>
      <c r="CF5" s="37"/>
      <c r="CG5" s="38"/>
      <c r="CH5" s="36"/>
      <c r="CI5" s="37"/>
      <c r="CJ5" s="38"/>
      <c r="CK5" s="36"/>
      <c r="CL5" s="37"/>
      <c r="CM5" s="38"/>
      <c r="CN5" s="36"/>
      <c r="CO5" s="37"/>
      <c r="CP5" s="38"/>
      <c r="CQ5" s="36"/>
      <c r="CR5" s="37"/>
      <c r="CS5" s="38"/>
      <c r="CT5" s="36"/>
      <c r="CU5" s="37"/>
      <c r="CV5" s="38"/>
      <c r="CW5" s="36"/>
      <c r="CX5" s="37"/>
      <c r="CY5" s="38"/>
      <c r="CZ5" s="36"/>
      <c r="DA5" s="37"/>
      <c r="DB5" s="38"/>
      <c r="DC5" s="36"/>
      <c r="DD5" s="37"/>
      <c r="DE5" s="38"/>
      <c r="DF5" s="36"/>
      <c r="DG5" s="37"/>
      <c r="DH5" s="38"/>
      <c r="DI5" s="36"/>
      <c r="DJ5" s="37"/>
      <c r="DK5" s="38"/>
      <c r="DL5" s="36"/>
      <c r="DM5" s="37"/>
      <c r="DN5" s="38"/>
      <c r="DO5" s="36"/>
      <c r="DP5" s="37"/>
      <c r="DQ5" s="38"/>
      <c r="DR5" s="36"/>
      <c r="DS5" s="37"/>
      <c r="DT5" s="38"/>
      <c r="DU5" s="36"/>
      <c r="DV5" s="37"/>
      <c r="DW5" s="38"/>
      <c r="DX5" s="36"/>
      <c r="DY5" s="37"/>
      <c r="DZ5" s="38"/>
      <c r="EA5" s="36"/>
      <c r="EB5" s="37"/>
      <c r="EC5" s="38"/>
      <c r="ED5" s="36"/>
      <c r="EE5" s="37"/>
      <c r="EF5" s="38"/>
      <c r="EG5" s="36"/>
      <c r="EH5" s="37"/>
      <c r="EI5" s="38"/>
      <c r="EJ5" s="36"/>
      <c r="EK5" s="37"/>
      <c r="EL5" s="38"/>
      <c r="EM5" s="36"/>
      <c r="EN5" s="37"/>
      <c r="EO5" s="38"/>
      <c r="EP5" s="36"/>
      <c r="EQ5" s="37"/>
      <c r="ER5" s="38"/>
      <c r="ES5" s="36"/>
      <c r="ET5" s="37"/>
      <c r="EU5" s="38"/>
      <c r="EV5" s="36"/>
      <c r="EW5" s="37"/>
      <c r="EX5" s="38"/>
      <c r="EY5" s="36"/>
      <c r="EZ5" s="37"/>
      <c r="FA5" s="38"/>
      <c r="FB5" s="36"/>
      <c r="FC5" s="37"/>
      <c r="FD5" s="38"/>
    </row>
    <row r="6" spans="1:160" x14ac:dyDescent="0.25">
      <c r="A6" s="32" t="s">
        <v>46</v>
      </c>
      <c r="B6" s="33">
        <f t="shared" si="0"/>
        <v>1</v>
      </c>
      <c r="C6" s="34">
        <f t="shared" si="0"/>
        <v>0</v>
      </c>
      <c r="D6" s="35">
        <f t="shared" si="0"/>
        <v>0</v>
      </c>
      <c r="E6" s="36">
        <v>0</v>
      </c>
      <c r="F6" s="37"/>
      <c r="G6" s="38"/>
      <c r="H6" s="36">
        <v>0</v>
      </c>
      <c r="I6" s="37"/>
      <c r="J6" s="38"/>
      <c r="K6" s="36">
        <v>0</v>
      </c>
      <c r="L6" s="37"/>
      <c r="M6" s="38"/>
      <c r="N6" s="36">
        <v>1</v>
      </c>
      <c r="O6" s="37"/>
      <c r="P6" s="38"/>
      <c r="Q6" s="29">
        <f>IFERROR(VLOOKUP($A6,'[1]05'!$A$4:$BH$96,54,FALSE),0)</f>
        <v>0</v>
      </c>
      <c r="R6" s="37">
        <f>IFERROR(VLOOKUP($A6,'[1]05'!$A$4:$BH$96,55,FALSE),0)</f>
        <v>0</v>
      </c>
      <c r="S6" s="38">
        <f>IFERROR(VLOOKUP($A6,'[1]05'!$A$4:$BH$96,56,FALSE),0)</f>
        <v>0</v>
      </c>
      <c r="T6" s="29">
        <f>IFERROR(VLOOKUP($A6,'[1]06'!$A$4:$BK$96,54,FALSE),0)</f>
        <v>0</v>
      </c>
      <c r="U6" s="37">
        <f>IFERROR(VLOOKUP($A6,'[1]06'!$A$4:$BK$96,56,FALSE),0)</f>
        <v>0</v>
      </c>
      <c r="V6" s="38">
        <f>IFERROR(VLOOKUP($A6,'[1]06'!$A$4:$BK$96,58,FALSE),0)</f>
        <v>0</v>
      </c>
      <c r="W6" s="29">
        <f>IFERROR(VLOOKUP($A6,'[1]06'!$A$4:$BK$96,54,FALSE),0)</f>
        <v>0</v>
      </c>
      <c r="X6" s="37">
        <f>IFERROR(VLOOKUP($A6,'[1]06'!$A$4:$BK$96,56,FALSE),0)</f>
        <v>0</v>
      </c>
      <c r="Y6" s="38">
        <f>IFERROR(VLOOKUP($A6,'[1]06'!$A$4:$BK$96,58,FALSE),0)</f>
        <v>0</v>
      </c>
      <c r="Z6" s="36"/>
      <c r="AA6" s="37"/>
      <c r="AB6" s="38"/>
      <c r="AC6" s="36"/>
      <c r="AD6" s="37"/>
      <c r="AE6" s="38"/>
      <c r="AF6" s="36"/>
      <c r="AG6" s="37"/>
      <c r="AH6" s="38"/>
      <c r="AI6" s="36"/>
      <c r="AJ6" s="37"/>
      <c r="AK6" s="38"/>
      <c r="AL6" s="36"/>
      <c r="AM6" s="37"/>
      <c r="AN6" s="38"/>
      <c r="AO6" s="36"/>
      <c r="AP6" s="37"/>
      <c r="AQ6" s="38"/>
      <c r="AR6" s="36"/>
      <c r="AS6" s="37"/>
      <c r="AT6" s="38"/>
      <c r="AU6" s="36"/>
      <c r="AV6" s="37"/>
      <c r="AW6" s="38"/>
      <c r="AX6" s="36"/>
      <c r="AY6" s="37"/>
      <c r="AZ6" s="38"/>
      <c r="BA6" s="36"/>
      <c r="BB6" s="37"/>
      <c r="BC6" s="38"/>
      <c r="BD6" s="36"/>
      <c r="BE6" s="37"/>
      <c r="BF6" s="38"/>
      <c r="BG6" s="36"/>
      <c r="BH6" s="37"/>
      <c r="BI6" s="38"/>
      <c r="BJ6" s="36"/>
      <c r="BK6" s="37"/>
      <c r="BL6" s="38"/>
      <c r="BM6" s="36"/>
      <c r="BN6" s="37"/>
      <c r="BO6" s="38"/>
      <c r="BP6" s="36"/>
      <c r="BQ6" s="37"/>
      <c r="BR6" s="38"/>
      <c r="BS6" s="36"/>
      <c r="BT6" s="37"/>
      <c r="BU6" s="38"/>
      <c r="BV6" s="36"/>
      <c r="BW6" s="37"/>
      <c r="BX6" s="38"/>
      <c r="BY6" s="36"/>
      <c r="BZ6" s="37"/>
      <c r="CA6" s="38"/>
      <c r="CB6" s="36"/>
      <c r="CC6" s="37"/>
      <c r="CD6" s="38"/>
      <c r="CE6" s="36"/>
      <c r="CF6" s="37"/>
      <c r="CG6" s="38"/>
      <c r="CH6" s="36"/>
      <c r="CI6" s="37"/>
      <c r="CJ6" s="38"/>
      <c r="CK6" s="36"/>
      <c r="CL6" s="37"/>
      <c r="CM6" s="38"/>
      <c r="CN6" s="36"/>
      <c r="CO6" s="37"/>
      <c r="CP6" s="38"/>
      <c r="CQ6" s="36"/>
      <c r="CR6" s="37"/>
      <c r="CS6" s="38"/>
      <c r="CT6" s="36"/>
      <c r="CU6" s="37"/>
      <c r="CV6" s="38"/>
      <c r="CW6" s="36"/>
      <c r="CX6" s="37"/>
      <c r="CY6" s="38"/>
      <c r="CZ6" s="36"/>
      <c r="DA6" s="37"/>
      <c r="DB6" s="38"/>
      <c r="DC6" s="36"/>
      <c r="DD6" s="37"/>
      <c r="DE6" s="38"/>
      <c r="DF6" s="36"/>
      <c r="DG6" s="37"/>
      <c r="DH6" s="38"/>
      <c r="DI6" s="36"/>
      <c r="DJ6" s="37"/>
      <c r="DK6" s="38"/>
      <c r="DL6" s="36"/>
      <c r="DM6" s="37"/>
      <c r="DN6" s="38"/>
      <c r="DO6" s="36"/>
      <c r="DP6" s="37"/>
      <c r="DQ6" s="38"/>
      <c r="DR6" s="36"/>
      <c r="DS6" s="37"/>
      <c r="DT6" s="38"/>
      <c r="DU6" s="36"/>
      <c r="DV6" s="37"/>
      <c r="DW6" s="38"/>
      <c r="DX6" s="36"/>
      <c r="DY6" s="37"/>
      <c r="DZ6" s="38"/>
      <c r="EA6" s="36"/>
      <c r="EB6" s="37"/>
      <c r="EC6" s="38"/>
      <c r="ED6" s="36"/>
      <c r="EE6" s="37"/>
      <c r="EF6" s="38"/>
      <c r="EG6" s="36"/>
      <c r="EH6" s="37"/>
      <c r="EI6" s="38"/>
      <c r="EJ6" s="36"/>
      <c r="EK6" s="37"/>
      <c r="EL6" s="38"/>
      <c r="EM6" s="36"/>
      <c r="EN6" s="37"/>
      <c r="EO6" s="38"/>
      <c r="EP6" s="36"/>
      <c r="EQ6" s="37"/>
      <c r="ER6" s="38"/>
      <c r="ES6" s="36"/>
      <c r="ET6" s="37"/>
      <c r="EU6" s="38"/>
      <c r="EV6" s="36"/>
      <c r="EW6" s="37"/>
      <c r="EX6" s="38"/>
      <c r="EY6" s="36"/>
      <c r="EZ6" s="37"/>
      <c r="FA6" s="38"/>
      <c r="FB6" s="36"/>
      <c r="FC6" s="37"/>
      <c r="FD6" s="38"/>
    </row>
    <row r="7" spans="1:160" x14ac:dyDescent="0.25">
      <c r="A7" s="32" t="s">
        <v>8</v>
      </c>
      <c r="B7" s="33">
        <f t="shared" si="0"/>
        <v>13</v>
      </c>
      <c r="C7" s="34">
        <f t="shared" si="0"/>
        <v>2</v>
      </c>
      <c r="D7" s="35">
        <f t="shared" si="0"/>
        <v>0</v>
      </c>
      <c r="E7" s="36">
        <v>0</v>
      </c>
      <c r="F7" s="37"/>
      <c r="G7" s="38"/>
      <c r="H7" s="36">
        <v>3</v>
      </c>
      <c r="I7" s="37"/>
      <c r="J7" s="38"/>
      <c r="K7" s="36">
        <v>3</v>
      </c>
      <c r="L7" s="37"/>
      <c r="M7" s="38"/>
      <c r="N7" s="36">
        <v>2</v>
      </c>
      <c r="O7" s="37"/>
      <c r="P7" s="38"/>
      <c r="Q7" s="29">
        <f>IFERROR(VLOOKUP($A7,'[1]05'!$A$4:$BH$96,54,FALSE),0)</f>
        <v>5</v>
      </c>
      <c r="R7" s="37">
        <f>IFERROR(VLOOKUP($A7,'[1]05'!$A$4:$BH$96,55,FALSE),0)</f>
        <v>2</v>
      </c>
      <c r="S7" s="38">
        <f>IFERROR(VLOOKUP($A7,'[1]05'!$A$4:$BH$96,56,FALSE),0)</f>
        <v>0</v>
      </c>
      <c r="T7" s="29">
        <f>IFERROR(VLOOKUP($A7,'[1]06'!$A$4:$BK$96,54,FALSE),0)</f>
        <v>0</v>
      </c>
      <c r="U7" s="37">
        <f>IFERROR(VLOOKUP($A7,'[1]06'!$A$4:$BK$96,56,FALSE),0)</f>
        <v>0</v>
      </c>
      <c r="V7" s="38">
        <f>IFERROR(VLOOKUP($A7,'[1]06'!$A$4:$BK$96,58,FALSE),0)</f>
        <v>0</v>
      </c>
      <c r="W7" s="29">
        <f>IFERROR(VLOOKUP($A7,'[1]06'!$A$4:$BK$96,54,FALSE),0)</f>
        <v>0</v>
      </c>
      <c r="X7" s="37">
        <f>IFERROR(VLOOKUP($A7,'[1]06'!$A$4:$BK$96,56,FALSE),0)</f>
        <v>0</v>
      </c>
      <c r="Y7" s="38">
        <f>IFERROR(VLOOKUP($A7,'[1]06'!$A$4:$BK$96,58,FALSE),0)</f>
        <v>0</v>
      </c>
      <c r="Z7" s="36"/>
      <c r="AA7" s="37"/>
      <c r="AB7" s="38"/>
      <c r="AC7" s="36"/>
      <c r="AD7" s="37"/>
      <c r="AE7" s="38"/>
      <c r="AF7" s="36"/>
      <c r="AG7" s="37"/>
      <c r="AH7" s="38"/>
      <c r="AI7" s="36"/>
      <c r="AJ7" s="37"/>
      <c r="AK7" s="38"/>
      <c r="AL7" s="36"/>
      <c r="AM7" s="37"/>
      <c r="AN7" s="38"/>
      <c r="AO7" s="36"/>
      <c r="AP7" s="37"/>
      <c r="AQ7" s="38"/>
      <c r="AR7" s="36"/>
      <c r="AS7" s="37"/>
      <c r="AT7" s="38"/>
      <c r="AU7" s="36"/>
      <c r="AV7" s="37"/>
      <c r="AW7" s="38"/>
      <c r="AX7" s="36"/>
      <c r="AY7" s="37"/>
      <c r="AZ7" s="38"/>
      <c r="BA7" s="36"/>
      <c r="BB7" s="37"/>
      <c r="BC7" s="38"/>
      <c r="BD7" s="36"/>
      <c r="BE7" s="37"/>
      <c r="BF7" s="38"/>
      <c r="BG7" s="36"/>
      <c r="BH7" s="37"/>
      <c r="BI7" s="38"/>
      <c r="BJ7" s="36"/>
      <c r="BK7" s="37"/>
      <c r="BL7" s="38"/>
      <c r="BM7" s="36"/>
      <c r="BN7" s="37"/>
      <c r="BO7" s="38"/>
      <c r="BP7" s="36"/>
      <c r="BQ7" s="37"/>
      <c r="BR7" s="38"/>
      <c r="BS7" s="36"/>
      <c r="BT7" s="37"/>
      <c r="BU7" s="38"/>
      <c r="BV7" s="36"/>
      <c r="BW7" s="37"/>
      <c r="BX7" s="38"/>
      <c r="BY7" s="36"/>
      <c r="BZ7" s="37"/>
      <c r="CA7" s="38"/>
      <c r="CB7" s="36"/>
      <c r="CC7" s="37"/>
      <c r="CD7" s="38"/>
      <c r="CE7" s="36"/>
      <c r="CF7" s="37"/>
      <c r="CG7" s="38"/>
      <c r="CH7" s="36"/>
      <c r="CI7" s="37"/>
      <c r="CJ7" s="38"/>
      <c r="CK7" s="36"/>
      <c r="CL7" s="37"/>
      <c r="CM7" s="38"/>
      <c r="CN7" s="36"/>
      <c r="CO7" s="37"/>
      <c r="CP7" s="38"/>
      <c r="CQ7" s="36"/>
      <c r="CR7" s="37"/>
      <c r="CS7" s="38"/>
      <c r="CT7" s="36"/>
      <c r="CU7" s="37"/>
      <c r="CV7" s="38"/>
      <c r="CW7" s="36"/>
      <c r="CX7" s="37"/>
      <c r="CY7" s="38"/>
      <c r="CZ7" s="36"/>
      <c r="DA7" s="37"/>
      <c r="DB7" s="38"/>
      <c r="DC7" s="36"/>
      <c r="DD7" s="37"/>
      <c r="DE7" s="38"/>
      <c r="DF7" s="36"/>
      <c r="DG7" s="37"/>
      <c r="DH7" s="38"/>
      <c r="DI7" s="36"/>
      <c r="DJ7" s="37"/>
      <c r="DK7" s="38"/>
      <c r="DL7" s="36"/>
      <c r="DM7" s="37"/>
      <c r="DN7" s="38"/>
      <c r="DO7" s="36"/>
      <c r="DP7" s="37"/>
      <c r="DQ7" s="38"/>
      <c r="DR7" s="36"/>
      <c r="DS7" s="37"/>
      <c r="DT7" s="38"/>
      <c r="DU7" s="36"/>
      <c r="DV7" s="37"/>
      <c r="DW7" s="38"/>
      <c r="DX7" s="36"/>
      <c r="DY7" s="37"/>
      <c r="DZ7" s="38"/>
      <c r="EA7" s="36"/>
      <c r="EB7" s="37"/>
      <c r="EC7" s="38"/>
      <c r="ED7" s="36"/>
      <c r="EE7" s="37"/>
      <c r="EF7" s="38"/>
      <c r="EG7" s="36"/>
      <c r="EH7" s="37"/>
      <c r="EI7" s="38"/>
      <c r="EJ7" s="36"/>
      <c r="EK7" s="37"/>
      <c r="EL7" s="38"/>
      <c r="EM7" s="36"/>
      <c r="EN7" s="37"/>
      <c r="EO7" s="38"/>
      <c r="EP7" s="36"/>
      <c r="EQ7" s="37"/>
      <c r="ER7" s="38"/>
      <c r="ES7" s="36"/>
      <c r="ET7" s="37"/>
      <c r="EU7" s="38"/>
      <c r="EV7" s="36"/>
      <c r="EW7" s="37"/>
      <c r="EX7" s="38"/>
      <c r="EY7" s="36"/>
      <c r="EZ7" s="37"/>
      <c r="FA7" s="38"/>
      <c r="FB7" s="36"/>
      <c r="FC7" s="37"/>
      <c r="FD7" s="38"/>
    </row>
    <row r="8" spans="1:160" x14ac:dyDescent="0.25">
      <c r="A8" s="32" t="s">
        <v>40</v>
      </c>
      <c r="B8" s="33">
        <f t="shared" si="0"/>
        <v>3</v>
      </c>
      <c r="C8" s="34">
        <f t="shared" si="0"/>
        <v>0</v>
      </c>
      <c r="D8" s="35">
        <f t="shared" si="0"/>
        <v>1</v>
      </c>
      <c r="E8" s="36">
        <v>1</v>
      </c>
      <c r="F8" s="37"/>
      <c r="G8" s="38"/>
      <c r="H8" s="36">
        <v>0</v>
      </c>
      <c r="I8" s="37"/>
      <c r="J8" s="38"/>
      <c r="K8" s="36">
        <v>1</v>
      </c>
      <c r="L8" s="37"/>
      <c r="M8" s="38"/>
      <c r="N8" s="36">
        <v>0</v>
      </c>
      <c r="O8" s="37"/>
      <c r="P8" s="38"/>
      <c r="Q8" s="29">
        <f>IFERROR(VLOOKUP($A8,'[1]05'!$A$4:$BH$96,54,FALSE),0)</f>
        <v>1</v>
      </c>
      <c r="R8" s="37">
        <f>IFERROR(VLOOKUP($A8,'[1]05'!$A$4:$BH$96,55,FALSE),0)</f>
        <v>0</v>
      </c>
      <c r="S8" s="38">
        <f>IFERROR(VLOOKUP($A8,'[1]05'!$A$4:$BH$96,56,FALSE),0)</f>
        <v>1</v>
      </c>
      <c r="T8" s="29">
        <f>IFERROR(VLOOKUP($A8,'[1]06'!$A$4:$BK$96,54,FALSE),0)</f>
        <v>0</v>
      </c>
      <c r="U8" s="37">
        <f>IFERROR(VLOOKUP($A8,'[1]06'!$A$4:$BK$96,56,FALSE),0)</f>
        <v>0</v>
      </c>
      <c r="V8" s="38">
        <f>IFERROR(VLOOKUP($A8,'[1]06'!$A$4:$BK$96,58,FALSE),0)</f>
        <v>0</v>
      </c>
      <c r="W8" s="29">
        <f>IFERROR(VLOOKUP($A8,'[1]06'!$A$4:$BK$96,54,FALSE),0)</f>
        <v>0</v>
      </c>
      <c r="X8" s="37">
        <f>IFERROR(VLOOKUP($A8,'[1]06'!$A$4:$BK$96,56,FALSE),0)</f>
        <v>0</v>
      </c>
      <c r="Y8" s="38">
        <f>IFERROR(VLOOKUP($A8,'[1]06'!$A$4:$BK$96,58,FALSE),0)</f>
        <v>0</v>
      </c>
      <c r="Z8" s="36"/>
      <c r="AA8" s="37"/>
      <c r="AB8" s="38"/>
      <c r="AC8" s="36"/>
      <c r="AD8" s="37"/>
      <c r="AE8" s="38"/>
      <c r="AF8" s="36"/>
      <c r="AG8" s="37"/>
      <c r="AH8" s="38"/>
      <c r="AI8" s="36"/>
      <c r="AJ8" s="37"/>
      <c r="AK8" s="38"/>
      <c r="AL8" s="36"/>
      <c r="AM8" s="37"/>
      <c r="AN8" s="38"/>
      <c r="AO8" s="36"/>
      <c r="AP8" s="37"/>
      <c r="AQ8" s="38"/>
      <c r="AR8" s="36"/>
      <c r="AS8" s="37"/>
      <c r="AT8" s="38"/>
      <c r="AU8" s="36"/>
      <c r="AV8" s="37"/>
      <c r="AW8" s="38"/>
      <c r="AX8" s="36"/>
      <c r="AY8" s="37"/>
      <c r="AZ8" s="38"/>
      <c r="BA8" s="36"/>
      <c r="BB8" s="37"/>
      <c r="BC8" s="38"/>
      <c r="BD8" s="36"/>
      <c r="BE8" s="37"/>
      <c r="BF8" s="38"/>
      <c r="BG8" s="36"/>
      <c r="BH8" s="37"/>
      <c r="BI8" s="38"/>
      <c r="BJ8" s="36"/>
      <c r="BK8" s="37"/>
      <c r="BL8" s="38"/>
      <c r="BM8" s="36"/>
      <c r="BN8" s="37"/>
      <c r="BO8" s="38"/>
      <c r="BP8" s="36"/>
      <c r="BQ8" s="37"/>
      <c r="BR8" s="38"/>
      <c r="BS8" s="36"/>
      <c r="BT8" s="37"/>
      <c r="BU8" s="38"/>
      <c r="BV8" s="36"/>
      <c r="BW8" s="37"/>
      <c r="BX8" s="38"/>
      <c r="BY8" s="36"/>
      <c r="BZ8" s="37"/>
      <c r="CA8" s="38"/>
      <c r="CB8" s="36"/>
      <c r="CC8" s="37"/>
      <c r="CD8" s="38"/>
      <c r="CE8" s="36"/>
      <c r="CF8" s="37"/>
      <c r="CG8" s="38"/>
      <c r="CH8" s="36"/>
      <c r="CI8" s="37"/>
      <c r="CJ8" s="38"/>
      <c r="CK8" s="36"/>
      <c r="CL8" s="37"/>
      <c r="CM8" s="38"/>
      <c r="CN8" s="36"/>
      <c r="CO8" s="37"/>
      <c r="CP8" s="38"/>
      <c r="CQ8" s="36"/>
      <c r="CR8" s="37"/>
      <c r="CS8" s="38"/>
      <c r="CT8" s="36"/>
      <c r="CU8" s="37"/>
      <c r="CV8" s="38"/>
      <c r="CW8" s="36"/>
      <c r="CX8" s="37"/>
      <c r="CY8" s="38"/>
      <c r="CZ8" s="36"/>
      <c r="DA8" s="37"/>
      <c r="DB8" s="38"/>
      <c r="DC8" s="36"/>
      <c r="DD8" s="37"/>
      <c r="DE8" s="38"/>
      <c r="DF8" s="36"/>
      <c r="DG8" s="37"/>
      <c r="DH8" s="38"/>
      <c r="DI8" s="36"/>
      <c r="DJ8" s="37"/>
      <c r="DK8" s="38"/>
      <c r="DL8" s="36"/>
      <c r="DM8" s="37"/>
      <c r="DN8" s="38"/>
      <c r="DO8" s="36"/>
      <c r="DP8" s="37"/>
      <c r="DQ8" s="38"/>
      <c r="DR8" s="36"/>
      <c r="DS8" s="37"/>
      <c r="DT8" s="38"/>
      <c r="DU8" s="36"/>
      <c r="DV8" s="37"/>
      <c r="DW8" s="38"/>
      <c r="DX8" s="36"/>
      <c r="DY8" s="37"/>
      <c r="DZ8" s="38"/>
      <c r="EA8" s="36"/>
      <c r="EB8" s="37"/>
      <c r="EC8" s="38"/>
      <c r="ED8" s="36"/>
      <c r="EE8" s="37"/>
      <c r="EF8" s="38"/>
      <c r="EG8" s="36"/>
      <c r="EH8" s="37"/>
      <c r="EI8" s="38"/>
      <c r="EJ8" s="36"/>
      <c r="EK8" s="37"/>
      <c r="EL8" s="38"/>
      <c r="EM8" s="36"/>
      <c r="EN8" s="37"/>
      <c r="EO8" s="38"/>
      <c r="EP8" s="36"/>
      <c r="EQ8" s="37"/>
      <c r="ER8" s="38"/>
      <c r="ES8" s="36"/>
      <c r="ET8" s="37"/>
      <c r="EU8" s="38"/>
      <c r="EV8" s="36"/>
      <c r="EW8" s="37"/>
      <c r="EX8" s="38"/>
      <c r="EY8" s="36"/>
      <c r="EZ8" s="37"/>
      <c r="FA8" s="38"/>
      <c r="FB8" s="36"/>
      <c r="FC8" s="37"/>
      <c r="FD8" s="38"/>
    </row>
    <row r="9" spans="1:160" x14ac:dyDescent="0.25">
      <c r="A9" s="32" t="s">
        <v>26</v>
      </c>
      <c r="B9" s="33">
        <f t="shared" si="0"/>
        <v>4</v>
      </c>
      <c r="C9" s="34">
        <f t="shared" si="0"/>
        <v>0</v>
      </c>
      <c r="D9" s="35">
        <f t="shared" si="0"/>
        <v>0</v>
      </c>
      <c r="E9" s="36">
        <v>0</v>
      </c>
      <c r="F9" s="37"/>
      <c r="G9" s="38"/>
      <c r="H9" s="36">
        <v>1</v>
      </c>
      <c r="I9" s="37"/>
      <c r="J9" s="38"/>
      <c r="K9" s="36">
        <v>1</v>
      </c>
      <c r="L9" s="37"/>
      <c r="M9" s="38"/>
      <c r="N9" s="36">
        <v>1</v>
      </c>
      <c r="O9" s="37"/>
      <c r="P9" s="38"/>
      <c r="Q9" s="29">
        <f>IFERROR(VLOOKUP($A9,'[1]05'!$A$4:$BH$96,54,FALSE),0)</f>
        <v>1</v>
      </c>
      <c r="R9" s="37">
        <f>IFERROR(VLOOKUP($A9,'[1]05'!$A$4:$BH$96,55,FALSE),0)</f>
        <v>0</v>
      </c>
      <c r="S9" s="38">
        <f>IFERROR(VLOOKUP($A9,'[1]05'!$A$4:$BH$96,56,FALSE),0)</f>
        <v>0</v>
      </c>
      <c r="T9" s="29">
        <f>IFERROR(VLOOKUP($A9,'[1]06'!$A$4:$BK$96,54,FALSE),0)</f>
        <v>0</v>
      </c>
      <c r="U9" s="37">
        <f>IFERROR(VLOOKUP($A9,'[1]06'!$A$4:$BK$96,56,FALSE),0)</f>
        <v>0</v>
      </c>
      <c r="V9" s="38">
        <f>IFERROR(VLOOKUP($A9,'[1]06'!$A$4:$BK$96,58,FALSE),0)</f>
        <v>0</v>
      </c>
      <c r="W9" s="29">
        <f>IFERROR(VLOOKUP($A9,'[1]06'!$A$4:$BK$96,54,FALSE),0)</f>
        <v>0</v>
      </c>
      <c r="X9" s="37">
        <f>IFERROR(VLOOKUP($A9,'[1]06'!$A$4:$BK$96,56,FALSE),0)</f>
        <v>0</v>
      </c>
      <c r="Y9" s="38">
        <f>IFERROR(VLOOKUP($A9,'[1]06'!$A$4:$BK$96,58,FALSE),0)</f>
        <v>0</v>
      </c>
      <c r="Z9" s="36"/>
      <c r="AA9" s="37"/>
      <c r="AB9" s="38"/>
      <c r="AC9" s="36"/>
      <c r="AD9" s="37"/>
      <c r="AE9" s="38"/>
      <c r="AF9" s="36"/>
      <c r="AG9" s="37"/>
      <c r="AH9" s="38"/>
      <c r="AI9" s="36"/>
      <c r="AJ9" s="37"/>
      <c r="AK9" s="38"/>
      <c r="AL9" s="36"/>
      <c r="AM9" s="37"/>
      <c r="AN9" s="38"/>
      <c r="AO9" s="36"/>
      <c r="AP9" s="37"/>
      <c r="AQ9" s="38"/>
      <c r="AR9" s="36"/>
      <c r="AS9" s="37"/>
      <c r="AT9" s="38"/>
      <c r="AU9" s="36"/>
      <c r="AV9" s="37"/>
      <c r="AW9" s="38"/>
      <c r="AX9" s="36"/>
      <c r="AY9" s="37"/>
      <c r="AZ9" s="38"/>
      <c r="BA9" s="36"/>
      <c r="BB9" s="37"/>
      <c r="BC9" s="38"/>
      <c r="BD9" s="36"/>
      <c r="BE9" s="37"/>
      <c r="BF9" s="38"/>
      <c r="BG9" s="36"/>
      <c r="BH9" s="37"/>
      <c r="BI9" s="38"/>
      <c r="BJ9" s="36"/>
      <c r="BK9" s="37"/>
      <c r="BL9" s="38"/>
      <c r="BM9" s="36"/>
      <c r="BN9" s="37"/>
      <c r="BO9" s="38"/>
      <c r="BP9" s="36"/>
      <c r="BQ9" s="37"/>
      <c r="BR9" s="38"/>
      <c r="BS9" s="36"/>
      <c r="BT9" s="37"/>
      <c r="BU9" s="38"/>
      <c r="BV9" s="36"/>
      <c r="BW9" s="37"/>
      <c r="BX9" s="38"/>
      <c r="BY9" s="36"/>
      <c r="BZ9" s="37"/>
      <c r="CA9" s="38"/>
      <c r="CB9" s="36"/>
      <c r="CC9" s="37"/>
      <c r="CD9" s="38"/>
      <c r="CE9" s="36"/>
      <c r="CF9" s="37"/>
      <c r="CG9" s="38"/>
      <c r="CH9" s="36"/>
      <c r="CI9" s="37"/>
      <c r="CJ9" s="38"/>
      <c r="CK9" s="36"/>
      <c r="CL9" s="37"/>
      <c r="CM9" s="38"/>
      <c r="CN9" s="36"/>
      <c r="CO9" s="37"/>
      <c r="CP9" s="38"/>
      <c r="CQ9" s="36"/>
      <c r="CR9" s="37"/>
      <c r="CS9" s="38"/>
      <c r="CT9" s="36"/>
      <c r="CU9" s="37"/>
      <c r="CV9" s="38"/>
      <c r="CW9" s="36"/>
      <c r="CX9" s="37"/>
      <c r="CY9" s="38"/>
      <c r="CZ9" s="36"/>
      <c r="DA9" s="37"/>
      <c r="DB9" s="38"/>
      <c r="DC9" s="36"/>
      <c r="DD9" s="37"/>
      <c r="DE9" s="38"/>
      <c r="DF9" s="36"/>
      <c r="DG9" s="37"/>
      <c r="DH9" s="38"/>
      <c r="DI9" s="36"/>
      <c r="DJ9" s="37"/>
      <c r="DK9" s="38"/>
      <c r="DL9" s="36"/>
      <c r="DM9" s="37"/>
      <c r="DN9" s="38"/>
      <c r="DO9" s="36"/>
      <c r="DP9" s="37"/>
      <c r="DQ9" s="38"/>
      <c r="DR9" s="36"/>
      <c r="DS9" s="37"/>
      <c r="DT9" s="38"/>
      <c r="DU9" s="36"/>
      <c r="DV9" s="37"/>
      <c r="DW9" s="38"/>
      <c r="DX9" s="36"/>
      <c r="DY9" s="37"/>
      <c r="DZ9" s="38"/>
      <c r="EA9" s="36"/>
      <c r="EB9" s="37"/>
      <c r="EC9" s="38"/>
      <c r="ED9" s="36"/>
      <c r="EE9" s="37"/>
      <c r="EF9" s="38"/>
      <c r="EG9" s="36"/>
      <c r="EH9" s="37"/>
      <c r="EI9" s="38"/>
      <c r="EJ9" s="36"/>
      <c r="EK9" s="37"/>
      <c r="EL9" s="38"/>
      <c r="EM9" s="36"/>
      <c r="EN9" s="37"/>
      <c r="EO9" s="38"/>
      <c r="EP9" s="36"/>
      <c r="EQ9" s="37"/>
      <c r="ER9" s="38"/>
      <c r="ES9" s="36"/>
      <c r="ET9" s="37"/>
      <c r="EU9" s="38"/>
      <c r="EV9" s="36"/>
      <c r="EW9" s="37"/>
      <c r="EX9" s="38"/>
      <c r="EY9" s="36"/>
      <c r="EZ9" s="37"/>
      <c r="FA9" s="38"/>
      <c r="FB9" s="36"/>
      <c r="FC9" s="37"/>
      <c r="FD9" s="38"/>
    </row>
    <row r="10" spans="1:160" x14ac:dyDescent="0.25">
      <c r="A10" s="32" t="s">
        <v>63</v>
      </c>
      <c r="B10" s="33">
        <f t="shared" si="0"/>
        <v>0</v>
      </c>
      <c r="C10" s="34">
        <f t="shared" si="0"/>
        <v>0</v>
      </c>
      <c r="D10" s="35">
        <f t="shared" si="0"/>
        <v>0</v>
      </c>
      <c r="E10" s="36">
        <v>0</v>
      </c>
      <c r="F10" s="37"/>
      <c r="G10" s="38"/>
      <c r="H10" s="36">
        <v>0</v>
      </c>
      <c r="I10" s="37"/>
      <c r="J10" s="38"/>
      <c r="K10" s="36">
        <v>0</v>
      </c>
      <c r="L10" s="37"/>
      <c r="M10" s="38"/>
      <c r="N10" s="36">
        <v>0</v>
      </c>
      <c r="O10" s="37"/>
      <c r="P10" s="38"/>
      <c r="Q10" s="29">
        <f>IFERROR(VLOOKUP($A10,'[1]05'!$A$4:$BH$96,54,FALSE),0)</f>
        <v>0</v>
      </c>
      <c r="R10" s="37">
        <f>IFERROR(VLOOKUP($A10,'[1]05'!$A$4:$BH$96,55,FALSE),0)</f>
        <v>0</v>
      </c>
      <c r="S10" s="38">
        <f>IFERROR(VLOOKUP($A10,'[1]05'!$A$4:$BH$96,56,FALSE),0)</f>
        <v>0</v>
      </c>
      <c r="T10" s="29">
        <f>IFERROR(VLOOKUP($A10,'[1]06'!$A$4:$BK$96,54,FALSE),0)</f>
        <v>0</v>
      </c>
      <c r="U10" s="37">
        <f>IFERROR(VLOOKUP($A10,'[1]06'!$A$4:$BK$96,56,FALSE),0)</f>
        <v>0</v>
      </c>
      <c r="V10" s="38">
        <f>IFERROR(VLOOKUP($A10,'[1]06'!$A$4:$BK$96,58,FALSE),0)</f>
        <v>0</v>
      </c>
      <c r="W10" s="29">
        <f>IFERROR(VLOOKUP($A10,'[1]06'!$A$4:$BK$96,54,FALSE),0)</f>
        <v>0</v>
      </c>
      <c r="X10" s="37">
        <f>IFERROR(VLOOKUP($A10,'[1]06'!$A$4:$BK$96,56,FALSE),0)</f>
        <v>0</v>
      </c>
      <c r="Y10" s="38">
        <f>IFERROR(VLOOKUP($A10,'[1]06'!$A$4:$BK$96,58,FALSE),0)</f>
        <v>0</v>
      </c>
      <c r="Z10" s="36"/>
      <c r="AA10" s="37"/>
      <c r="AB10" s="38"/>
      <c r="AC10" s="36"/>
      <c r="AD10" s="37"/>
      <c r="AE10" s="38"/>
      <c r="AF10" s="36"/>
      <c r="AG10" s="37"/>
      <c r="AH10" s="38"/>
      <c r="AI10" s="36"/>
      <c r="AJ10" s="37"/>
      <c r="AK10" s="38"/>
      <c r="AL10" s="36"/>
      <c r="AM10" s="37"/>
      <c r="AN10" s="38"/>
      <c r="AO10" s="36"/>
      <c r="AP10" s="37"/>
      <c r="AQ10" s="38"/>
      <c r="AR10" s="36"/>
      <c r="AS10" s="37"/>
      <c r="AT10" s="38"/>
      <c r="AU10" s="36"/>
      <c r="AV10" s="37"/>
      <c r="AW10" s="38"/>
      <c r="AX10" s="36"/>
      <c r="AY10" s="37"/>
      <c r="AZ10" s="38"/>
      <c r="BA10" s="36"/>
      <c r="BB10" s="37"/>
      <c r="BC10" s="38"/>
      <c r="BD10" s="36"/>
      <c r="BE10" s="37"/>
      <c r="BF10" s="38"/>
      <c r="BG10" s="36"/>
      <c r="BH10" s="37"/>
      <c r="BI10" s="38"/>
      <c r="BJ10" s="36"/>
      <c r="BK10" s="37"/>
      <c r="BL10" s="38"/>
      <c r="BM10" s="36"/>
      <c r="BN10" s="37"/>
      <c r="BO10" s="38"/>
      <c r="BP10" s="36"/>
      <c r="BQ10" s="37"/>
      <c r="BR10" s="38"/>
      <c r="BS10" s="36"/>
      <c r="BT10" s="37"/>
      <c r="BU10" s="38"/>
      <c r="BV10" s="36"/>
      <c r="BW10" s="37"/>
      <c r="BX10" s="38"/>
      <c r="BY10" s="36"/>
      <c r="BZ10" s="37"/>
      <c r="CA10" s="38"/>
      <c r="CB10" s="36"/>
      <c r="CC10" s="37"/>
      <c r="CD10" s="38"/>
      <c r="CE10" s="36"/>
      <c r="CF10" s="37"/>
      <c r="CG10" s="38"/>
      <c r="CH10" s="36"/>
      <c r="CI10" s="37"/>
      <c r="CJ10" s="38"/>
      <c r="CK10" s="36"/>
      <c r="CL10" s="37"/>
      <c r="CM10" s="38"/>
      <c r="CN10" s="36"/>
      <c r="CO10" s="37"/>
      <c r="CP10" s="38"/>
      <c r="CQ10" s="36"/>
      <c r="CR10" s="37"/>
      <c r="CS10" s="38"/>
      <c r="CT10" s="36"/>
      <c r="CU10" s="37"/>
      <c r="CV10" s="38"/>
      <c r="CW10" s="36"/>
      <c r="CX10" s="37"/>
      <c r="CY10" s="38"/>
      <c r="CZ10" s="36"/>
      <c r="DA10" s="37"/>
      <c r="DB10" s="38"/>
      <c r="DC10" s="36"/>
      <c r="DD10" s="37"/>
      <c r="DE10" s="38"/>
      <c r="DF10" s="36"/>
      <c r="DG10" s="37"/>
      <c r="DH10" s="38"/>
      <c r="DI10" s="36"/>
      <c r="DJ10" s="37"/>
      <c r="DK10" s="38"/>
      <c r="DL10" s="36"/>
      <c r="DM10" s="37"/>
      <c r="DN10" s="38"/>
      <c r="DO10" s="36"/>
      <c r="DP10" s="37"/>
      <c r="DQ10" s="38"/>
      <c r="DR10" s="36"/>
      <c r="DS10" s="37"/>
      <c r="DT10" s="38"/>
      <c r="DU10" s="36"/>
      <c r="DV10" s="37"/>
      <c r="DW10" s="38"/>
      <c r="DX10" s="36"/>
      <c r="DY10" s="37"/>
      <c r="DZ10" s="38"/>
      <c r="EA10" s="36"/>
      <c r="EB10" s="37"/>
      <c r="EC10" s="38"/>
      <c r="ED10" s="36"/>
      <c r="EE10" s="37"/>
      <c r="EF10" s="38"/>
      <c r="EG10" s="36"/>
      <c r="EH10" s="37"/>
      <c r="EI10" s="38"/>
      <c r="EJ10" s="36"/>
      <c r="EK10" s="37"/>
      <c r="EL10" s="38"/>
      <c r="EM10" s="36"/>
      <c r="EN10" s="37"/>
      <c r="EO10" s="38"/>
      <c r="EP10" s="36"/>
      <c r="EQ10" s="37"/>
      <c r="ER10" s="38"/>
      <c r="ES10" s="36"/>
      <c r="ET10" s="37"/>
      <c r="EU10" s="38"/>
      <c r="EV10" s="36"/>
      <c r="EW10" s="37"/>
      <c r="EX10" s="38"/>
      <c r="EY10" s="36"/>
      <c r="EZ10" s="37"/>
      <c r="FA10" s="38"/>
      <c r="FB10" s="36"/>
      <c r="FC10" s="37"/>
      <c r="FD10" s="38"/>
    </row>
    <row r="11" spans="1:160" x14ac:dyDescent="0.25">
      <c r="A11" s="32" t="s">
        <v>64</v>
      </c>
      <c r="B11" s="33">
        <f t="shared" si="0"/>
        <v>0</v>
      </c>
      <c r="C11" s="34">
        <f t="shared" si="0"/>
        <v>0</v>
      </c>
      <c r="D11" s="35">
        <f t="shared" si="0"/>
        <v>0</v>
      </c>
      <c r="E11" s="36">
        <v>0</v>
      </c>
      <c r="F11" s="37"/>
      <c r="G11" s="38"/>
      <c r="H11" s="36">
        <v>0</v>
      </c>
      <c r="I11" s="37"/>
      <c r="J11" s="38"/>
      <c r="K11" s="36">
        <v>0</v>
      </c>
      <c r="L11" s="37"/>
      <c r="M11" s="38"/>
      <c r="N11" s="36">
        <v>0</v>
      </c>
      <c r="O11" s="37"/>
      <c r="P11" s="38"/>
      <c r="Q11" s="29">
        <f>IFERROR(VLOOKUP($A11,'[1]05'!$A$4:$BH$96,54,FALSE),0)</f>
        <v>0</v>
      </c>
      <c r="R11" s="37">
        <f>IFERROR(VLOOKUP($A11,'[1]05'!$A$4:$BH$96,55,FALSE),0)</f>
        <v>0</v>
      </c>
      <c r="S11" s="38">
        <f>IFERROR(VLOOKUP($A11,'[1]05'!$A$4:$BH$96,56,FALSE),0)</f>
        <v>0</v>
      </c>
      <c r="T11" s="29">
        <f>IFERROR(VLOOKUP($A11,'[1]06'!$A$4:$BK$96,54,FALSE),0)</f>
        <v>0</v>
      </c>
      <c r="U11" s="37">
        <f>IFERROR(VLOOKUP($A11,'[1]06'!$A$4:$BK$96,56,FALSE),0)</f>
        <v>0</v>
      </c>
      <c r="V11" s="38">
        <f>IFERROR(VLOOKUP($A11,'[1]06'!$A$4:$BK$96,58,FALSE),0)</f>
        <v>0</v>
      </c>
      <c r="W11" s="29">
        <f>IFERROR(VLOOKUP($A11,'[1]06'!$A$4:$BK$96,54,FALSE),0)</f>
        <v>0</v>
      </c>
      <c r="X11" s="37">
        <f>IFERROR(VLOOKUP($A11,'[1]06'!$A$4:$BK$96,56,FALSE),0)</f>
        <v>0</v>
      </c>
      <c r="Y11" s="38">
        <f>IFERROR(VLOOKUP($A11,'[1]06'!$A$4:$BK$96,58,FALSE),0)</f>
        <v>0</v>
      </c>
      <c r="Z11" s="36"/>
      <c r="AA11" s="37"/>
      <c r="AB11" s="38"/>
      <c r="AC11" s="36"/>
      <c r="AD11" s="37"/>
      <c r="AE11" s="38"/>
      <c r="AF11" s="36"/>
      <c r="AG11" s="37"/>
      <c r="AH11" s="38"/>
      <c r="AI11" s="36"/>
      <c r="AJ11" s="37"/>
      <c r="AK11" s="38"/>
      <c r="AL11" s="36"/>
      <c r="AM11" s="37"/>
      <c r="AN11" s="38"/>
      <c r="AO11" s="36"/>
      <c r="AP11" s="37"/>
      <c r="AQ11" s="38"/>
      <c r="AR11" s="36"/>
      <c r="AS11" s="37"/>
      <c r="AT11" s="38"/>
      <c r="AU11" s="36"/>
      <c r="AV11" s="37"/>
      <c r="AW11" s="38"/>
      <c r="AX11" s="36"/>
      <c r="AY11" s="37"/>
      <c r="AZ11" s="38"/>
      <c r="BA11" s="36"/>
      <c r="BB11" s="37"/>
      <c r="BC11" s="38"/>
      <c r="BD11" s="36"/>
      <c r="BE11" s="37"/>
      <c r="BF11" s="38"/>
      <c r="BG11" s="36"/>
      <c r="BH11" s="37"/>
      <c r="BI11" s="38"/>
      <c r="BJ11" s="36"/>
      <c r="BK11" s="37"/>
      <c r="BL11" s="38"/>
      <c r="BM11" s="36"/>
      <c r="BN11" s="37"/>
      <c r="BO11" s="38"/>
      <c r="BP11" s="36"/>
      <c r="BQ11" s="37"/>
      <c r="BR11" s="38"/>
      <c r="BS11" s="36"/>
      <c r="BT11" s="37"/>
      <c r="BU11" s="38"/>
      <c r="BV11" s="36"/>
      <c r="BW11" s="37"/>
      <c r="BX11" s="38"/>
      <c r="BY11" s="36"/>
      <c r="BZ11" s="37"/>
      <c r="CA11" s="38"/>
      <c r="CB11" s="36"/>
      <c r="CC11" s="37"/>
      <c r="CD11" s="38"/>
      <c r="CE11" s="36"/>
      <c r="CF11" s="37"/>
      <c r="CG11" s="38"/>
      <c r="CH11" s="36"/>
      <c r="CI11" s="37"/>
      <c r="CJ11" s="38"/>
      <c r="CK11" s="36"/>
      <c r="CL11" s="37"/>
      <c r="CM11" s="38"/>
      <c r="CN11" s="36"/>
      <c r="CO11" s="37"/>
      <c r="CP11" s="38"/>
      <c r="CQ11" s="36"/>
      <c r="CR11" s="37"/>
      <c r="CS11" s="38"/>
      <c r="CT11" s="36"/>
      <c r="CU11" s="37"/>
      <c r="CV11" s="38"/>
      <c r="CW11" s="36"/>
      <c r="CX11" s="37"/>
      <c r="CY11" s="38"/>
      <c r="CZ11" s="36"/>
      <c r="DA11" s="37"/>
      <c r="DB11" s="38"/>
      <c r="DC11" s="36"/>
      <c r="DD11" s="37"/>
      <c r="DE11" s="38"/>
      <c r="DF11" s="36"/>
      <c r="DG11" s="37"/>
      <c r="DH11" s="38"/>
      <c r="DI11" s="36"/>
      <c r="DJ11" s="37"/>
      <c r="DK11" s="38"/>
      <c r="DL11" s="36"/>
      <c r="DM11" s="37"/>
      <c r="DN11" s="38"/>
      <c r="DO11" s="36"/>
      <c r="DP11" s="37"/>
      <c r="DQ11" s="38"/>
      <c r="DR11" s="36"/>
      <c r="DS11" s="37"/>
      <c r="DT11" s="38"/>
      <c r="DU11" s="36"/>
      <c r="DV11" s="37"/>
      <c r="DW11" s="38"/>
      <c r="DX11" s="36"/>
      <c r="DY11" s="37"/>
      <c r="DZ11" s="38"/>
      <c r="EA11" s="36"/>
      <c r="EB11" s="37"/>
      <c r="EC11" s="38"/>
      <c r="ED11" s="36"/>
      <c r="EE11" s="37"/>
      <c r="EF11" s="38"/>
      <c r="EG11" s="36"/>
      <c r="EH11" s="37"/>
      <c r="EI11" s="38"/>
      <c r="EJ11" s="36"/>
      <c r="EK11" s="37"/>
      <c r="EL11" s="38"/>
      <c r="EM11" s="36"/>
      <c r="EN11" s="37"/>
      <c r="EO11" s="38"/>
      <c r="EP11" s="36"/>
      <c r="EQ11" s="37"/>
      <c r="ER11" s="38"/>
      <c r="ES11" s="36"/>
      <c r="ET11" s="37"/>
      <c r="EU11" s="38"/>
      <c r="EV11" s="36"/>
      <c r="EW11" s="37"/>
      <c r="EX11" s="38"/>
      <c r="EY11" s="36"/>
      <c r="EZ11" s="37"/>
      <c r="FA11" s="38"/>
      <c r="FB11" s="36"/>
      <c r="FC11" s="37"/>
      <c r="FD11" s="38"/>
    </row>
    <row r="12" spans="1:160" x14ac:dyDescent="0.25">
      <c r="A12" s="32" t="s">
        <v>21</v>
      </c>
      <c r="B12" s="33">
        <f t="shared" si="0"/>
        <v>7</v>
      </c>
      <c r="C12" s="34">
        <f t="shared" si="0"/>
        <v>1</v>
      </c>
      <c r="D12" s="35">
        <f t="shared" si="0"/>
        <v>0</v>
      </c>
      <c r="E12" s="36">
        <v>0</v>
      </c>
      <c r="F12" s="37"/>
      <c r="G12" s="38"/>
      <c r="H12" s="36">
        <v>5</v>
      </c>
      <c r="I12" s="37"/>
      <c r="J12" s="38"/>
      <c r="K12" s="36">
        <v>1</v>
      </c>
      <c r="L12" s="37"/>
      <c r="M12" s="38"/>
      <c r="N12" s="36">
        <v>1</v>
      </c>
      <c r="O12" s="37"/>
      <c r="P12" s="38"/>
      <c r="Q12" s="29">
        <f>IFERROR(VLOOKUP($A12,'[1]05'!$A$4:$BH$96,54,FALSE),0)</f>
        <v>0</v>
      </c>
      <c r="R12" s="37">
        <f>IFERROR(VLOOKUP($A12,'[1]05'!$A$4:$BH$96,55,FALSE),0)</f>
        <v>1</v>
      </c>
      <c r="S12" s="38">
        <f>IFERROR(VLOOKUP($A12,'[1]05'!$A$4:$BH$96,56,FALSE),0)</f>
        <v>0</v>
      </c>
      <c r="T12" s="29">
        <f>IFERROR(VLOOKUP($A12,'[1]06'!$A$4:$BK$96,54,FALSE),0)</f>
        <v>0</v>
      </c>
      <c r="U12" s="37">
        <f>IFERROR(VLOOKUP($A12,'[1]06'!$A$4:$BK$96,56,FALSE),0)</f>
        <v>0</v>
      </c>
      <c r="V12" s="38">
        <f>IFERROR(VLOOKUP($A12,'[1]06'!$A$4:$BK$96,58,FALSE),0)</f>
        <v>0</v>
      </c>
      <c r="W12" s="29">
        <f>IFERROR(VLOOKUP($A12,'[1]06'!$A$4:$BK$96,54,FALSE),0)</f>
        <v>0</v>
      </c>
      <c r="X12" s="37">
        <f>IFERROR(VLOOKUP($A12,'[1]06'!$A$4:$BK$96,56,FALSE),0)</f>
        <v>0</v>
      </c>
      <c r="Y12" s="38">
        <f>IFERROR(VLOOKUP($A12,'[1]06'!$A$4:$BK$96,58,FALSE),0)</f>
        <v>0</v>
      </c>
      <c r="Z12" s="36"/>
      <c r="AA12" s="37"/>
      <c r="AB12" s="38"/>
      <c r="AC12" s="36"/>
      <c r="AD12" s="37"/>
      <c r="AE12" s="38"/>
      <c r="AF12" s="36"/>
      <c r="AG12" s="37"/>
      <c r="AH12" s="38"/>
      <c r="AI12" s="36"/>
      <c r="AJ12" s="37"/>
      <c r="AK12" s="38"/>
      <c r="AL12" s="36"/>
      <c r="AM12" s="37"/>
      <c r="AN12" s="38"/>
      <c r="AO12" s="36"/>
      <c r="AP12" s="37"/>
      <c r="AQ12" s="38"/>
      <c r="AR12" s="36"/>
      <c r="AS12" s="37"/>
      <c r="AT12" s="38"/>
      <c r="AU12" s="36"/>
      <c r="AV12" s="37"/>
      <c r="AW12" s="38"/>
      <c r="AX12" s="36"/>
      <c r="AY12" s="37"/>
      <c r="AZ12" s="38"/>
      <c r="BA12" s="36"/>
      <c r="BB12" s="37"/>
      <c r="BC12" s="38"/>
      <c r="BD12" s="36"/>
      <c r="BE12" s="37"/>
      <c r="BF12" s="38"/>
      <c r="BG12" s="36"/>
      <c r="BH12" s="37"/>
      <c r="BI12" s="38"/>
      <c r="BJ12" s="36"/>
      <c r="BK12" s="37"/>
      <c r="BL12" s="38"/>
      <c r="BM12" s="36"/>
      <c r="BN12" s="37"/>
      <c r="BO12" s="38"/>
      <c r="BP12" s="36"/>
      <c r="BQ12" s="37"/>
      <c r="BR12" s="38"/>
      <c r="BS12" s="36"/>
      <c r="BT12" s="37"/>
      <c r="BU12" s="38"/>
      <c r="BV12" s="36"/>
      <c r="BW12" s="37"/>
      <c r="BX12" s="38"/>
      <c r="BY12" s="36"/>
      <c r="BZ12" s="37"/>
      <c r="CA12" s="38"/>
      <c r="CB12" s="36"/>
      <c r="CC12" s="37"/>
      <c r="CD12" s="38"/>
      <c r="CE12" s="36"/>
      <c r="CF12" s="37"/>
      <c r="CG12" s="38"/>
      <c r="CH12" s="36"/>
      <c r="CI12" s="37"/>
      <c r="CJ12" s="38"/>
      <c r="CK12" s="36"/>
      <c r="CL12" s="37"/>
      <c r="CM12" s="38"/>
      <c r="CN12" s="36"/>
      <c r="CO12" s="37"/>
      <c r="CP12" s="38"/>
      <c r="CQ12" s="36"/>
      <c r="CR12" s="37"/>
      <c r="CS12" s="38"/>
      <c r="CT12" s="36"/>
      <c r="CU12" s="37"/>
      <c r="CV12" s="38"/>
      <c r="CW12" s="36"/>
      <c r="CX12" s="37"/>
      <c r="CY12" s="38"/>
      <c r="CZ12" s="36"/>
      <c r="DA12" s="37"/>
      <c r="DB12" s="38"/>
      <c r="DC12" s="36"/>
      <c r="DD12" s="37"/>
      <c r="DE12" s="38"/>
      <c r="DF12" s="36"/>
      <c r="DG12" s="37"/>
      <c r="DH12" s="38"/>
      <c r="DI12" s="36"/>
      <c r="DJ12" s="37"/>
      <c r="DK12" s="38"/>
      <c r="DL12" s="36"/>
      <c r="DM12" s="37"/>
      <c r="DN12" s="38"/>
      <c r="DO12" s="36"/>
      <c r="DP12" s="37"/>
      <c r="DQ12" s="38"/>
      <c r="DR12" s="36"/>
      <c r="DS12" s="37"/>
      <c r="DT12" s="38"/>
      <c r="DU12" s="36"/>
      <c r="DV12" s="37"/>
      <c r="DW12" s="38"/>
      <c r="DX12" s="36"/>
      <c r="DY12" s="37"/>
      <c r="DZ12" s="38"/>
      <c r="EA12" s="36"/>
      <c r="EB12" s="37"/>
      <c r="EC12" s="38"/>
      <c r="ED12" s="36"/>
      <c r="EE12" s="37"/>
      <c r="EF12" s="38"/>
      <c r="EG12" s="36"/>
      <c r="EH12" s="37"/>
      <c r="EI12" s="38"/>
      <c r="EJ12" s="36"/>
      <c r="EK12" s="37"/>
      <c r="EL12" s="38"/>
      <c r="EM12" s="36"/>
      <c r="EN12" s="37"/>
      <c r="EO12" s="38"/>
      <c r="EP12" s="36"/>
      <c r="EQ12" s="37"/>
      <c r="ER12" s="38"/>
      <c r="ES12" s="36"/>
      <c r="ET12" s="37"/>
      <c r="EU12" s="38"/>
      <c r="EV12" s="36"/>
      <c r="EW12" s="37"/>
      <c r="EX12" s="38"/>
      <c r="EY12" s="36"/>
      <c r="EZ12" s="37"/>
      <c r="FA12" s="38"/>
      <c r="FB12" s="36"/>
      <c r="FC12" s="37"/>
      <c r="FD12" s="38"/>
    </row>
    <row r="13" spans="1:160" x14ac:dyDescent="0.25">
      <c r="A13" s="32" t="s">
        <v>15</v>
      </c>
      <c r="B13" s="33">
        <f t="shared" si="0"/>
        <v>3</v>
      </c>
      <c r="C13" s="34">
        <f t="shared" si="0"/>
        <v>1</v>
      </c>
      <c r="D13" s="35">
        <f t="shared" si="0"/>
        <v>0</v>
      </c>
      <c r="E13" s="36">
        <v>0</v>
      </c>
      <c r="F13" s="37"/>
      <c r="G13" s="38"/>
      <c r="H13" s="36">
        <v>0</v>
      </c>
      <c r="I13" s="37"/>
      <c r="J13" s="38"/>
      <c r="K13" s="36">
        <v>2</v>
      </c>
      <c r="L13" s="37"/>
      <c r="M13" s="38"/>
      <c r="N13" s="36">
        <v>0</v>
      </c>
      <c r="O13" s="37"/>
      <c r="P13" s="38"/>
      <c r="Q13" s="29">
        <f>IFERROR(VLOOKUP($A13,'[1]05'!$A$4:$BH$96,54,FALSE),0)</f>
        <v>1</v>
      </c>
      <c r="R13" s="37">
        <f>IFERROR(VLOOKUP($A13,'[1]05'!$A$4:$BH$96,55,FALSE),0)</f>
        <v>1</v>
      </c>
      <c r="S13" s="38">
        <f>IFERROR(VLOOKUP($A13,'[1]05'!$A$4:$BH$96,56,FALSE),0)</f>
        <v>0</v>
      </c>
      <c r="T13" s="29">
        <f>IFERROR(VLOOKUP($A13,'[1]06'!$A$4:$BK$96,54,FALSE),0)</f>
        <v>0</v>
      </c>
      <c r="U13" s="37">
        <f>IFERROR(VLOOKUP($A13,'[1]06'!$A$4:$BK$96,56,FALSE),0)</f>
        <v>0</v>
      </c>
      <c r="V13" s="38">
        <f>IFERROR(VLOOKUP($A13,'[1]06'!$A$4:$BK$96,58,FALSE),0)</f>
        <v>0</v>
      </c>
      <c r="W13" s="29">
        <f>IFERROR(VLOOKUP($A13,'[1]06'!$A$4:$BK$96,54,FALSE),0)</f>
        <v>0</v>
      </c>
      <c r="X13" s="37">
        <f>IFERROR(VLOOKUP($A13,'[1]06'!$A$4:$BK$96,56,FALSE),0)</f>
        <v>0</v>
      </c>
      <c r="Y13" s="38">
        <f>IFERROR(VLOOKUP($A13,'[1]06'!$A$4:$BK$96,58,FALSE),0)</f>
        <v>0</v>
      </c>
      <c r="Z13" s="36"/>
      <c r="AA13" s="37"/>
      <c r="AB13" s="38"/>
      <c r="AC13" s="36"/>
      <c r="AD13" s="37"/>
      <c r="AE13" s="38"/>
      <c r="AF13" s="36"/>
      <c r="AG13" s="37"/>
      <c r="AH13" s="38"/>
      <c r="AI13" s="36"/>
      <c r="AJ13" s="37"/>
      <c r="AK13" s="38"/>
      <c r="AL13" s="36"/>
      <c r="AM13" s="37"/>
      <c r="AN13" s="38"/>
      <c r="AO13" s="36"/>
      <c r="AP13" s="37"/>
      <c r="AQ13" s="38"/>
      <c r="AR13" s="36"/>
      <c r="AS13" s="37"/>
      <c r="AT13" s="38"/>
      <c r="AU13" s="36"/>
      <c r="AV13" s="37"/>
      <c r="AW13" s="38"/>
      <c r="AX13" s="36"/>
      <c r="AY13" s="37"/>
      <c r="AZ13" s="38"/>
      <c r="BA13" s="36"/>
      <c r="BB13" s="37"/>
      <c r="BC13" s="38"/>
      <c r="BD13" s="36"/>
      <c r="BE13" s="37"/>
      <c r="BF13" s="38"/>
      <c r="BG13" s="36"/>
      <c r="BH13" s="37"/>
      <c r="BI13" s="38"/>
      <c r="BJ13" s="36"/>
      <c r="BK13" s="37"/>
      <c r="BL13" s="38"/>
      <c r="BM13" s="36"/>
      <c r="BN13" s="37"/>
      <c r="BO13" s="38"/>
      <c r="BP13" s="36"/>
      <c r="BQ13" s="37"/>
      <c r="BR13" s="38"/>
      <c r="BS13" s="36"/>
      <c r="BT13" s="37"/>
      <c r="BU13" s="38"/>
      <c r="BV13" s="36"/>
      <c r="BW13" s="37"/>
      <c r="BX13" s="38"/>
      <c r="BY13" s="36"/>
      <c r="BZ13" s="37"/>
      <c r="CA13" s="38"/>
      <c r="CB13" s="36"/>
      <c r="CC13" s="37"/>
      <c r="CD13" s="38"/>
      <c r="CE13" s="36"/>
      <c r="CF13" s="37"/>
      <c r="CG13" s="38"/>
      <c r="CH13" s="36"/>
      <c r="CI13" s="37"/>
      <c r="CJ13" s="38"/>
      <c r="CK13" s="36"/>
      <c r="CL13" s="37"/>
      <c r="CM13" s="38"/>
      <c r="CN13" s="36"/>
      <c r="CO13" s="37"/>
      <c r="CP13" s="38"/>
      <c r="CQ13" s="36"/>
      <c r="CR13" s="37"/>
      <c r="CS13" s="38"/>
      <c r="CT13" s="36"/>
      <c r="CU13" s="37"/>
      <c r="CV13" s="38"/>
      <c r="CW13" s="36"/>
      <c r="CX13" s="37"/>
      <c r="CY13" s="38"/>
      <c r="CZ13" s="36"/>
      <c r="DA13" s="37"/>
      <c r="DB13" s="38"/>
      <c r="DC13" s="36"/>
      <c r="DD13" s="37"/>
      <c r="DE13" s="38"/>
      <c r="DF13" s="36"/>
      <c r="DG13" s="37"/>
      <c r="DH13" s="38"/>
      <c r="DI13" s="36"/>
      <c r="DJ13" s="37"/>
      <c r="DK13" s="38"/>
      <c r="DL13" s="36"/>
      <c r="DM13" s="37"/>
      <c r="DN13" s="38"/>
      <c r="DO13" s="36"/>
      <c r="DP13" s="37"/>
      <c r="DQ13" s="38"/>
      <c r="DR13" s="36"/>
      <c r="DS13" s="37"/>
      <c r="DT13" s="38"/>
      <c r="DU13" s="36"/>
      <c r="DV13" s="37"/>
      <c r="DW13" s="38"/>
      <c r="DX13" s="36"/>
      <c r="DY13" s="37"/>
      <c r="DZ13" s="38"/>
      <c r="EA13" s="36"/>
      <c r="EB13" s="37"/>
      <c r="EC13" s="38"/>
      <c r="ED13" s="36"/>
      <c r="EE13" s="37"/>
      <c r="EF13" s="38"/>
      <c r="EG13" s="36"/>
      <c r="EH13" s="37"/>
      <c r="EI13" s="38"/>
      <c r="EJ13" s="36"/>
      <c r="EK13" s="37"/>
      <c r="EL13" s="38"/>
      <c r="EM13" s="36"/>
      <c r="EN13" s="37"/>
      <c r="EO13" s="38"/>
      <c r="EP13" s="36"/>
      <c r="EQ13" s="37"/>
      <c r="ER13" s="38"/>
      <c r="ES13" s="36"/>
      <c r="ET13" s="37"/>
      <c r="EU13" s="38"/>
      <c r="EV13" s="36"/>
      <c r="EW13" s="37"/>
      <c r="EX13" s="38"/>
      <c r="EY13" s="36"/>
      <c r="EZ13" s="37"/>
      <c r="FA13" s="38"/>
      <c r="FB13" s="36"/>
      <c r="FC13" s="37"/>
      <c r="FD13" s="38"/>
    </row>
    <row r="14" spans="1:160" x14ac:dyDescent="0.25">
      <c r="A14" s="32" t="s">
        <v>34</v>
      </c>
      <c r="B14" s="33">
        <f t="shared" si="0"/>
        <v>2</v>
      </c>
      <c r="C14" s="34">
        <f t="shared" si="0"/>
        <v>1</v>
      </c>
      <c r="D14" s="35">
        <f t="shared" si="0"/>
        <v>1</v>
      </c>
      <c r="E14" s="36">
        <v>0</v>
      </c>
      <c r="F14" s="37"/>
      <c r="G14" s="38"/>
      <c r="H14" s="36">
        <v>0</v>
      </c>
      <c r="I14" s="37"/>
      <c r="J14" s="38"/>
      <c r="K14" s="36">
        <v>0</v>
      </c>
      <c r="L14" s="37"/>
      <c r="M14" s="38"/>
      <c r="N14" s="36">
        <v>2</v>
      </c>
      <c r="O14" s="37"/>
      <c r="P14" s="38"/>
      <c r="Q14" s="29">
        <f>IFERROR(VLOOKUP($A14,'[1]05'!$A$4:$BH$96,54,FALSE),0)</f>
        <v>0</v>
      </c>
      <c r="R14" s="37">
        <f>IFERROR(VLOOKUP($A14,'[1]05'!$A$4:$BH$96,55,FALSE),0)</f>
        <v>1</v>
      </c>
      <c r="S14" s="38">
        <f>IFERROR(VLOOKUP($A14,'[1]05'!$A$4:$BH$96,56,FALSE),0)</f>
        <v>1</v>
      </c>
      <c r="T14" s="29">
        <f>IFERROR(VLOOKUP($A14,'[1]06'!$A$4:$BK$96,54,FALSE),0)</f>
        <v>0</v>
      </c>
      <c r="U14" s="37">
        <f>IFERROR(VLOOKUP($A14,'[1]06'!$A$4:$BK$96,56,FALSE),0)</f>
        <v>0</v>
      </c>
      <c r="V14" s="38">
        <f>IFERROR(VLOOKUP($A14,'[1]06'!$A$4:$BK$96,58,FALSE),0)</f>
        <v>0</v>
      </c>
      <c r="W14" s="29">
        <f>IFERROR(VLOOKUP($A14,'[1]06'!$A$4:$BK$96,54,FALSE),0)</f>
        <v>0</v>
      </c>
      <c r="X14" s="37">
        <f>IFERROR(VLOOKUP($A14,'[1]06'!$A$4:$BK$96,56,FALSE),0)</f>
        <v>0</v>
      </c>
      <c r="Y14" s="38">
        <f>IFERROR(VLOOKUP($A14,'[1]06'!$A$4:$BK$96,58,FALSE),0)</f>
        <v>0</v>
      </c>
      <c r="Z14" s="36"/>
      <c r="AA14" s="37"/>
      <c r="AB14" s="38"/>
      <c r="AC14" s="36"/>
      <c r="AD14" s="37"/>
      <c r="AE14" s="38"/>
      <c r="AF14" s="36"/>
      <c r="AG14" s="37"/>
      <c r="AH14" s="38"/>
      <c r="AI14" s="36"/>
      <c r="AJ14" s="37"/>
      <c r="AK14" s="38"/>
      <c r="AL14" s="36"/>
      <c r="AM14" s="37"/>
      <c r="AN14" s="38"/>
      <c r="AO14" s="36"/>
      <c r="AP14" s="37"/>
      <c r="AQ14" s="38"/>
      <c r="AR14" s="36"/>
      <c r="AS14" s="37"/>
      <c r="AT14" s="38"/>
      <c r="AU14" s="36"/>
      <c r="AV14" s="37"/>
      <c r="AW14" s="38"/>
      <c r="AX14" s="36"/>
      <c r="AY14" s="37"/>
      <c r="AZ14" s="38"/>
      <c r="BA14" s="36"/>
      <c r="BB14" s="37"/>
      <c r="BC14" s="38"/>
      <c r="BD14" s="36"/>
      <c r="BE14" s="37"/>
      <c r="BF14" s="38"/>
      <c r="BG14" s="36"/>
      <c r="BH14" s="37"/>
      <c r="BI14" s="38"/>
      <c r="BJ14" s="36"/>
      <c r="BK14" s="37"/>
      <c r="BL14" s="38"/>
      <c r="BM14" s="36"/>
      <c r="BN14" s="37"/>
      <c r="BO14" s="38"/>
      <c r="BP14" s="36"/>
      <c r="BQ14" s="37"/>
      <c r="BR14" s="38"/>
      <c r="BS14" s="36"/>
      <c r="BT14" s="37"/>
      <c r="BU14" s="38"/>
      <c r="BV14" s="36"/>
      <c r="BW14" s="37"/>
      <c r="BX14" s="38"/>
      <c r="BY14" s="36"/>
      <c r="BZ14" s="37"/>
      <c r="CA14" s="38"/>
      <c r="CB14" s="36"/>
      <c r="CC14" s="37"/>
      <c r="CD14" s="38"/>
      <c r="CE14" s="36"/>
      <c r="CF14" s="37"/>
      <c r="CG14" s="38"/>
      <c r="CH14" s="36"/>
      <c r="CI14" s="37"/>
      <c r="CJ14" s="38"/>
      <c r="CK14" s="36"/>
      <c r="CL14" s="37"/>
      <c r="CM14" s="38"/>
      <c r="CN14" s="36"/>
      <c r="CO14" s="37"/>
      <c r="CP14" s="38"/>
      <c r="CQ14" s="36"/>
      <c r="CR14" s="37"/>
      <c r="CS14" s="38"/>
      <c r="CT14" s="36"/>
      <c r="CU14" s="37"/>
      <c r="CV14" s="38"/>
      <c r="CW14" s="36"/>
      <c r="CX14" s="37"/>
      <c r="CY14" s="38"/>
      <c r="CZ14" s="36"/>
      <c r="DA14" s="37"/>
      <c r="DB14" s="38"/>
      <c r="DC14" s="36"/>
      <c r="DD14" s="37"/>
      <c r="DE14" s="38"/>
      <c r="DF14" s="36"/>
      <c r="DG14" s="37"/>
      <c r="DH14" s="38"/>
      <c r="DI14" s="36"/>
      <c r="DJ14" s="37"/>
      <c r="DK14" s="38"/>
      <c r="DL14" s="36"/>
      <c r="DM14" s="37"/>
      <c r="DN14" s="38"/>
      <c r="DO14" s="36"/>
      <c r="DP14" s="37"/>
      <c r="DQ14" s="38"/>
      <c r="DR14" s="36"/>
      <c r="DS14" s="37"/>
      <c r="DT14" s="38"/>
      <c r="DU14" s="36"/>
      <c r="DV14" s="37"/>
      <c r="DW14" s="38"/>
      <c r="DX14" s="36"/>
      <c r="DY14" s="37"/>
      <c r="DZ14" s="38"/>
      <c r="EA14" s="36"/>
      <c r="EB14" s="37"/>
      <c r="EC14" s="38"/>
      <c r="ED14" s="36"/>
      <c r="EE14" s="37"/>
      <c r="EF14" s="38"/>
      <c r="EG14" s="36"/>
      <c r="EH14" s="37"/>
      <c r="EI14" s="38"/>
      <c r="EJ14" s="36"/>
      <c r="EK14" s="37"/>
      <c r="EL14" s="38"/>
      <c r="EM14" s="36"/>
      <c r="EN14" s="37"/>
      <c r="EO14" s="38"/>
      <c r="EP14" s="36"/>
      <c r="EQ14" s="37"/>
      <c r="ER14" s="38"/>
      <c r="ES14" s="36"/>
      <c r="ET14" s="37"/>
      <c r="EU14" s="38"/>
      <c r="EV14" s="36"/>
      <c r="EW14" s="37"/>
      <c r="EX14" s="38"/>
      <c r="EY14" s="36"/>
      <c r="EZ14" s="37"/>
      <c r="FA14" s="38"/>
      <c r="FB14" s="36"/>
      <c r="FC14" s="37"/>
      <c r="FD14" s="38"/>
    </row>
    <row r="15" spans="1:160" x14ac:dyDescent="0.25">
      <c r="A15" s="32" t="s">
        <v>65</v>
      </c>
      <c r="B15" s="33">
        <f t="shared" si="0"/>
        <v>0</v>
      </c>
      <c r="C15" s="34">
        <f t="shared" si="0"/>
        <v>0</v>
      </c>
      <c r="D15" s="35">
        <f t="shared" si="0"/>
        <v>0</v>
      </c>
      <c r="E15" s="36">
        <v>0</v>
      </c>
      <c r="F15" s="37"/>
      <c r="G15" s="38"/>
      <c r="H15" s="36">
        <v>0</v>
      </c>
      <c r="I15" s="37"/>
      <c r="J15" s="38"/>
      <c r="K15" s="36">
        <v>0</v>
      </c>
      <c r="L15" s="37"/>
      <c r="M15" s="38"/>
      <c r="N15" s="36">
        <v>0</v>
      </c>
      <c r="O15" s="37"/>
      <c r="P15" s="38"/>
      <c r="Q15" s="29">
        <f>IFERROR(VLOOKUP($A15,'[1]05'!$A$4:$BH$96,54,FALSE),0)</f>
        <v>0</v>
      </c>
      <c r="R15" s="37">
        <f>IFERROR(VLOOKUP($A15,'[1]05'!$A$4:$BH$96,55,FALSE),0)</f>
        <v>0</v>
      </c>
      <c r="S15" s="38">
        <f>IFERROR(VLOOKUP($A15,'[1]05'!$A$4:$BH$96,56,FALSE),0)</f>
        <v>0</v>
      </c>
      <c r="T15" s="29">
        <f>IFERROR(VLOOKUP($A15,'[1]06'!$A$4:$BK$96,54,FALSE),0)</f>
        <v>0</v>
      </c>
      <c r="U15" s="37">
        <f>IFERROR(VLOOKUP($A15,'[1]06'!$A$4:$BK$96,56,FALSE),0)</f>
        <v>0</v>
      </c>
      <c r="V15" s="38">
        <f>IFERROR(VLOOKUP($A15,'[1]06'!$A$4:$BK$96,58,FALSE),0)</f>
        <v>0</v>
      </c>
      <c r="W15" s="29">
        <f>IFERROR(VLOOKUP($A15,'[1]06'!$A$4:$BK$96,54,FALSE),0)</f>
        <v>0</v>
      </c>
      <c r="X15" s="37">
        <f>IFERROR(VLOOKUP($A15,'[1]06'!$A$4:$BK$96,56,FALSE),0)</f>
        <v>0</v>
      </c>
      <c r="Y15" s="38">
        <f>IFERROR(VLOOKUP($A15,'[1]06'!$A$4:$BK$96,58,FALSE),0)</f>
        <v>0</v>
      </c>
      <c r="Z15" s="36"/>
      <c r="AA15" s="37"/>
      <c r="AB15" s="38"/>
      <c r="AC15" s="36"/>
      <c r="AD15" s="37"/>
      <c r="AE15" s="38"/>
      <c r="AF15" s="36"/>
      <c r="AG15" s="37"/>
      <c r="AH15" s="38"/>
      <c r="AI15" s="36"/>
      <c r="AJ15" s="37"/>
      <c r="AK15" s="38"/>
      <c r="AL15" s="36"/>
      <c r="AM15" s="37"/>
      <c r="AN15" s="38"/>
      <c r="AO15" s="36"/>
      <c r="AP15" s="37"/>
      <c r="AQ15" s="38"/>
      <c r="AR15" s="36"/>
      <c r="AS15" s="37"/>
      <c r="AT15" s="38"/>
      <c r="AU15" s="36"/>
      <c r="AV15" s="37"/>
      <c r="AW15" s="38"/>
      <c r="AX15" s="36"/>
      <c r="AY15" s="37"/>
      <c r="AZ15" s="38"/>
      <c r="BA15" s="36"/>
      <c r="BB15" s="37"/>
      <c r="BC15" s="38"/>
      <c r="BD15" s="36"/>
      <c r="BE15" s="37"/>
      <c r="BF15" s="38"/>
      <c r="BG15" s="36"/>
      <c r="BH15" s="37"/>
      <c r="BI15" s="38"/>
      <c r="BJ15" s="36"/>
      <c r="BK15" s="37"/>
      <c r="BL15" s="38"/>
      <c r="BM15" s="36"/>
      <c r="BN15" s="37"/>
      <c r="BO15" s="38"/>
      <c r="BP15" s="36"/>
      <c r="BQ15" s="37"/>
      <c r="BR15" s="38"/>
      <c r="BS15" s="36"/>
      <c r="BT15" s="37"/>
      <c r="BU15" s="38"/>
      <c r="BV15" s="36"/>
      <c r="BW15" s="37"/>
      <c r="BX15" s="38"/>
      <c r="BY15" s="36"/>
      <c r="BZ15" s="37"/>
      <c r="CA15" s="38"/>
      <c r="CB15" s="36"/>
      <c r="CC15" s="37"/>
      <c r="CD15" s="38"/>
      <c r="CE15" s="36"/>
      <c r="CF15" s="37"/>
      <c r="CG15" s="38"/>
      <c r="CH15" s="36"/>
      <c r="CI15" s="37"/>
      <c r="CJ15" s="38"/>
      <c r="CK15" s="36"/>
      <c r="CL15" s="37"/>
      <c r="CM15" s="38"/>
      <c r="CN15" s="36"/>
      <c r="CO15" s="37"/>
      <c r="CP15" s="38"/>
      <c r="CQ15" s="36"/>
      <c r="CR15" s="37"/>
      <c r="CS15" s="38"/>
      <c r="CT15" s="36"/>
      <c r="CU15" s="37"/>
      <c r="CV15" s="38"/>
      <c r="CW15" s="36"/>
      <c r="CX15" s="37"/>
      <c r="CY15" s="38"/>
      <c r="CZ15" s="36"/>
      <c r="DA15" s="37"/>
      <c r="DB15" s="38"/>
      <c r="DC15" s="36"/>
      <c r="DD15" s="37"/>
      <c r="DE15" s="38"/>
      <c r="DF15" s="36"/>
      <c r="DG15" s="37"/>
      <c r="DH15" s="38"/>
      <c r="DI15" s="36"/>
      <c r="DJ15" s="37"/>
      <c r="DK15" s="38"/>
      <c r="DL15" s="36"/>
      <c r="DM15" s="37"/>
      <c r="DN15" s="38"/>
      <c r="DO15" s="36"/>
      <c r="DP15" s="37"/>
      <c r="DQ15" s="38"/>
      <c r="DR15" s="36"/>
      <c r="DS15" s="37"/>
      <c r="DT15" s="38"/>
      <c r="DU15" s="36"/>
      <c r="DV15" s="37"/>
      <c r="DW15" s="38"/>
      <c r="DX15" s="36"/>
      <c r="DY15" s="37"/>
      <c r="DZ15" s="38"/>
      <c r="EA15" s="36"/>
      <c r="EB15" s="37"/>
      <c r="EC15" s="38"/>
      <c r="ED15" s="36"/>
      <c r="EE15" s="37"/>
      <c r="EF15" s="38"/>
      <c r="EG15" s="36"/>
      <c r="EH15" s="37"/>
      <c r="EI15" s="38"/>
      <c r="EJ15" s="36"/>
      <c r="EK15" s="37"/>
      <c r="EL15" s="38"/>
      <c r="EM15" s="36"/>
      <c r="EN15" s="37"/>
      <c r="EO15" s="38"/>
      <c r="EP15" s="36"/>
      <c r="EQ15" s="37"/>
      <c r="ER15" s="38"/>
      <c r="ES15" s="36"/>
      <c r="ET15" s="37"/>
      <c r="EU15" s="38"/>
      <c r="EV15" s="36"/>
      <c r="EW15" s="37"/>
      <c r="EX15" s="38"/>
      <c r="EY15" s="36"/>
      <c r="EZ15" s="37"/>
      <c r="FA15" s="38"/>
      <c r="FB15" s="36"/>
      <c r="FC15" s="37"/>
      <c r="FD15" s="38"/>
    </row>
    <row r="16" spans="1:160" x14ac:dyDescent="0.25">
      <c r="A16" s="32" t="s">
        <v>66</v>
      </c>
      <c r="B16" s="33">
        <f t="shared" si="0"/>
        <v>2</v>
      </c>
      <c r="C16" s="34">
        <f t="shared" si="0"/>
        <v>0</v>
      </c>
      <c r="D16" s="35">
        <f t="shared" si="0"/>
        <v>0</v>
      </c>
      <c r="E16" s="36">
        <v>1</v>
      </c>
      <c r="F16" s="37"/>
      <c r="G16" s="38"/>
      <c r="H16" s="36">
        <v>1</v>
      </c>
      <c r="I16" s="37"/>
      <c r="J16" s="38"/>
      <c r="K16" s="36">
        <v>0</v>
      </c>
      <c r="L16" s="37"/>
      <c r="M16" s="38"/>
      <c r="N16" s="36">
        <v>0</v>
      </c>
      <c r="O16" s="37"/>
      <c r="P16" s="38"/>
      <c r="Q16" s="29">
        <f>IFERROR(VLOOKUP($A16,'[1]05'!$A$4:$BH$96,54,FALSE),0)</f>
        <v>0</v>
      </c>
      <c r="R16" s="37">
        <f>IFERROR(VLOOKUP($A16,'[1]05'!$A$4:$BH$96,55,FALSE),0)</f>
        <v>0</v>
      </c>
      <c r="S16" s="38">
        <f>IFERROR(VLOOKUP($A16,'[1]05'!$A$4:$BH$96,56,FALSE),0)</f>
        <v>0</v>
      </c>
      <c r="T16" s="29">
        <f>IFERROR(VLOOKUP($A16,'[1]06'!$A$4:$BK$96,54,FALSE),0)</f>
        <v>0</v>
      </c>
      <c r="U16" s="37">
        <f>IFERROR(VLOOKUP($A16,'[1]06'!$A$4:$BK$96,56,FALSE),0)</f>
        <v>0</v>
      </c>
      <c r="V16" s="38">
        <f>IFERROR(VLOOKUP($A16,'[1]06'!$A$4:$BK$96,58,FALSE),0)</f>
        <v>0</v>
      </c>
      <c r="W16" s="29">
        <f>IFERROR(VLOOKUP($A16,'[1]06'!$A$4:$BK$96,54,FALSE),0)</f>
        <v>0</v>
      </c>
      <c r="X16" s="37">
        <f>IFERROR(VLOOKUP($A16,'[1]06'!$A$4:$BK$96,56,FALSE),0)</f>
        <v>0</v>
      </c>
      <c r="Y16" s="38">
        <f>IFERROR(VLOOKUP($A16,'[1]06'!$A$4:$BK$96,58,FALSE),0)</f>
        <v>0</v>
      </c>
      <c r="Z16" s="36"/>
      <c r="AA16" s="37"/>
      <c r="AB16" s="38"/>
      <c r="AC16" s="36"/>
      <c r="AD16" s="37"/>
      <c r="AE16" s="38"/>
      <c r="AF16" s="36"/>
      <c r="AG16" s="37"/>
      <c r="AH16" s="38"/>
      <c r="AI16" s="36"/>
      <c r="AJ16" s="37"/>
      <c r="AK16" s="38"/>
      <c r="AL16" s="36"/>
      <c r="AM16" s="37"/>
      <c r="AN16" s="38"/>
      <c r="AO16" s="36"/>
      <c r="AP16" s="37"/>
      <c r="AQ16" s="38"/>
      <c r="AR16" s="36"/>
      <c r="AS16" s="37"/>
      <c r="AT16" s="38"/>
      <c r="AU16" s="36"/>
      <c r="AV16" s="37"/>
      <c r="AW16" s="38"/>
      <c r="AX16" s="36"/>
      <c r="AY16" s="37"/>
      <c r="AZ16" s="38"/>
      <c r="BA16" s="36"/>
      <c r="BB16" s="37"/>
      <c r="BC16" s="38"/>
      <c r="BD16" s="36"/>
      <c r="BE16" s="37"/>
      <c r="BF16" s="38"/>
      <c r="BG16" s="36"/>
      <c r="BH16" s="37"/>
      <c r="BI16" s="38"/>
      <c r="BJ16" s="36"/>
      <c r="BK16" s="37"/>
      <c r="BL16" s="38"/>
      <c r="BM16" s="36"/>
      <c r="BN16" s="37"/>
      <c r="BO16" s="38"/>
      <c r="BP16" s="36"/>
      <c r="BQ16" s="37"/>
      <c r="BR16" s="38"/>
      <c r="BS16" s="36"/>
      <c r="BT16" s="37"/>
      <c r="BU16" s="38"/>
      <c r="BV16" s="36"/>
      <c r="BW16" s="37"/>
      <c r="BX16" s="38"/>
      <c r="BY16" s="36"/>
      <c r="BZ16" s="37"/>
      <c r="CA16" s="38"/>
      <c r="CB16" s="36"/>
      <c r="CC16" s="37"/>
      <c r="CD16" s="38"/>
      <c r="CE16" s="36"/>
      <c r="CF16" s="37"/>
      <c r="CG16" s="38"/>
      <c r="CH16" s="36"/>
      <c r="CI16" s="37"/>
      <c r="CJ16" s="38"/>
      <c r="CK16" s="36"/>
      <c r="CL16" s="37"/>
      <c r="CM16" s="38"/>
      <c r="CN16" s="36"/>
      <c r="CO16" s="37"/>
      <c r="CP16" s="38"/>
      <c r="CQ16" s="36"/>
      <c r="CR16" s="37"/>
      <c r="CS16" s="38"/>
      <c r="CT16" s="36"/>
      <c r="CU16" s="37"/>
      <c r="CV16" s="38"/>
      <c r="CW16" s="36"/>
      <c r="CX16" s="37"/>
      <c r="CY16" s="38"/>
      <c r="CZ16" s="36"/>
      <c r="DA16" s="37"/>
      <c r="DB16" s="38"/>
      <c r="DC16" s="36"/>
      <c r="DD16" s="37"/>
      <c r="DE16" s="38"/>
      <c r="DF16" s="36"/>
      <c r="DG16" s="37"/>
      <c r="DH16" s="38"/>
      <c r="DI16" s="36"/>
      <c r="DJ16" s="37"/>
      <c r="DK16" s="38"/>
      <c r="DL16" s="36"/>
      <c r="DM16" s="37"/>
      <c r="DN16" s="38"/>
      <c r="DO16" s="36"/>
      <c r="DP16" s="37"/>
      <c r="DQ16" s="38"/>
      <c r="DR16" s="36"/>
      <c r="DS16" s="37"/>
      <c r="DT16" s="38"/>
      <c r="DU16" s="36"/>
      <c r="DV16" s="37"/>
      <c r="DW16" s="38"/>
      <c r="DX16" s="36"/>
      <c r="DY16" s="37"/>
      <c r="DZ16" s="38"/>
      <c r="EA16" s="36"/>
      <c r="EB16" s="37"/>
      <c r="EC16" s="38"/>
      <c r="ED16" s="36"/>
      <c r="EE16" s="37"/>
      <c r="EF16" s="38"/>
      <c r="EG16" s="36"/>
      <c r="EH16" s="37"/>
      <c r="EI16" s="38"/>
      <c r="EJ16" s="36"/>
      <c r="EK16" s="37"/>
      <c r="EL16" s="38"/>
      <c r="EM16" s="36"/>
      <c r="EN16" s="37"/>
      <c r="EO16" s="38"/>
      <c r="EP16" s="36"/>
      <c r="EQ16" s="37"/>
      <c r="ER16" s="38"/>
      <c r="ES16" s="36"/>
      <c r="ET16" s="37"/>
      <c r="EU16" s="38"/>
      <c r="EV16" s="36"/>
      <c r="EW16" s="37"/>
      <c r="EX16" s="38"/>
      <c r="EY16" s="36"/>
      <c r="EZ16" s="37"/>
      <c r="FA16" s="38"/>
      <c r="FB16" s="36"/>
      <c r="FC16" s="37"/>
      <c r="FD16" s="38"/>
    </row>
    <row r="17" spans="1:160" x14ac:dyDescent="0.25">
      <c r="A17" s="32" t="s">
        <v>28</v>
      </c>
      <c r="B17" s="33">
        <f t="shared" si="0"/>
        <v>3</v>
      </c>
      <c r="C17" s="34">
        <f t="shared" si="0"/>
        <v>1</v>
      </c>
      <c r="D17" s="35">
        <f t="shared" si="0"/>
        <v>0</v>
      </c>
      <c r="E17" s="36">
        <v>1</v>
      </c>
      <c r="F17" s="37"/>
      <c r="G17" s="38"/>
      <c r="H17" s="36">
        <v>0</v>
      </c>
      <c r="I17" s="37"/>
      <c r="J17" s="38"/>
      <c r="K17" s="36">
        <v>0</v>
      </c>
      <c r="L17" s="37"/>
      <c r="M17" s="38"/>
      <c r="N17" s="36">
        <v>0</v>
      </c>
      <c r="O17" s="37"/>
      <c r="P17" s="38"/>
      <c r="Q17" s="29">
        <f>IFERROR(VLOOKUP($A17,'[1]05'!$A$4:$BH$96,54,FALSE),0)</f>
        <v>2</v>
      </c>
      <c r="R17" s="37">
        <f>IFERROR(VLOOKUP($A17,'[1]05'!$A$4:$BH$96,55,FALSE),0)</f>
        <v>1</v>
      </c>
      <c r="S17" s="38">
        <f>IFERROR(VLOOKUP($A17,'[1]05'!$A$4:$BH$96,56,FALSE),0)</f>
        <v>0</v>
      </c>
      <c r="T17" s="29">
        <f>IFERROR(VLOOKUP($A17,'[1]06'!$A$4:$BK$96,54,FALSE),0)</f>
        <v>0</v>
      </c>
      <c r="U17" s="37">
        <f>IFERROR(VLOOKUP($A17,'[1]06'!$A$4:$BK$96,56,FALSE),0)</f>
        <v>0</v>
      </c>
      <c r="V17" s="38">
        <f>IFERROR(VLOOKUP($A17,'[1]06'!$A$4:$BK$96,58,FALSE),0)</f>
        <v>0</v>
      </c>
      <c r="W17" s="29">
        <f>IFERROR(VLOOKUP($A17,'[1]06'!$A$4:$BK$96,54,FALSE),0)</f>
        <v>0</v>
      </c>
      <c r="X17" s="37">
        <f>IFERROR(VLOOKUP($A17,'[1]06'!$A$4:$BK$96,56,FALSE),0)</f>
        <v>0</v>
      </c>
      <c r="Y17" s="38">
        <f>IFERROR(VLOOKUP($A17,'[1]06'!$A$4:$BK$96,58,FALSE),0)</f>
        <v>0</v>
      </c>
      <c r="Z17" s="36"/>
      <c r="AA17" s="37"/>
      <c r="AB17" s="38"/>
      <c r="AC17" s="36"/>
      <c r="AD17" s="37"/>
      <c r="AE17" s="38"/>
      <c r="AF17" s="36"/>
      <c r="AG17" s="37"/>
      <c r="AH17" s="38"/>
      <c r="AI17" s="36"/>
      <c r="AJ17" s="37"/>
      <c r="AK17" s="38"/>
      <c r="AL17" s="36"/>
      <c r="AM17" s="37"/>
      <c r="AN17" s="38"/>
      <c r="AO17" s="36"/>
      <c r="AP17" s="37"/>
      <c r="AQ17" s="38"/>
      <c r="AR17" s="36"/>
      <c r="AS17" s="37"/>
      <c r="AT17" s="38"/>
      <c r="AU17" s="36"/>
      <c r="AV17" s="37"/>
      <c r="AW17" s="38"/>
      <c r="AX17" s="36"/>
      <c r="AY17" s="37"/>
      <c r="AZ17" s="38"/>
      <c r="BA17" s="36"/>
      <c r="BB17" s="37"/>
      <c r="BC17" s="38"/>
      <c r="BD17" s="36"/>
      <c r="BE17" s="37"/>
      <c r="BF17" s="38"/>
      <c r="BG17" s="36"/>
      <c r="BH17" s="37"/>
      <c r="BI17" s="38"/>
      <c r="BJ17" s="36"/>
      <c r="BK17" s="37"/>
      <c r="BL17" s="38"/>
      <c r="BM17" s="36"/>
      <c r="BN17" s="37"/>
      <c r="BO17" s="38"/>
      <c r="BP17" s="36"/>
      <c r="BQ17" s="37"/>
      <c r="BR17" s="38"/>
      <c r="BS17" s="36"/>
      <c r="BT17" s="37"/>
      <c r="BU17" s="38"/>
      <c r="BV17" s="36"/>
      <c r="BW17" s="37"/>
      <c r="BX17" s="38"/>
      <c r="BY17" s="36"/>
      <c r="BZ17" s="37"/>
      <c r="CA17" s="38"/>
      <c r="CB17" s="36"/>
      <c r="CC17" s="37"/>
      <c r="CD17" s="38"/>
      <c r="CE17" s="36"/>
      <c r="CF17" s="37"/>
      <c r="CG17" s="38"/>
      <c r="CH17" s="36"/>
      <c r="CI17" s="37"/>
      <c r="CJ17" s="38"/>
      <c r="CK17" s="36"/>
      <c r="CL17" s="37"/>
      <c r="CM17" s="38"/>
      <c r="CN17" s="36"/>
      <c r="CO17" s="37"/>
      <c r="CP17" s="38"/>
      <c r="CQ17" s="36"/>
      <c r="CR17" s="37"/>
      <c r="CS17" s="38"/>
      <c r="CT17" s="36"/>
      <c r="CU17" s="37"/>
      <c r="CV17" s="38"/>
      <c r="CW17" s="36"/>
      <c r="CX17" s="37"/>
      <c r="CY17" s="38"/>
      <c r="CZ17" s="36"/>
      <c r="DA17" s="37"/>
      <c r="DB17" s="38"/>
      <c r="DC17" s="36"/>
      <c r="DD17" s="37"/>
      <c r="DE17" s="38"/>
      <c r="DF17" s="36"/>
      <c r="DG17" s="37"/>
      <c r="DH17" s="38"/>
      <c r="DI17" s="36"/>
      <c r="DJ17" s="37"/>
      <c r="DK17" s="38"/>
      <c r="DL17" s="36"/>
      <c r="DM17" s="37"/>
      <c r="DN17" s="38"/>
      <c r="DO17" s="36"/>
      <c r="DP17" s="37"/>
      <c r="DQ17" s="38"/>
      <c r="DR17" s="36"/>
      <c r="DS17" s="37"/>
      <c r="DT17" s="38"/>
      <c r="DU17" s="36"/>
      <c r="DV17" s="37"/>
      <c r="DW17" s="38"/>
      <c r="DX17" s="36"/>
      <c r="DY17" s="37"/>
      <c r="DZ17" s="38"/>
      <c r="EA17" s="36"/>
      <c r="EB17" s="37"/>
      <c r="EC17" s="38"/>
      <c r="ED17" s="36"/>
      <c r="EE17" s="37"/>
      <c r="EF17" s="38"/>
      <c r="EG17" s="36"/>
      <c r="EH17" s="37"/>
      <c r="EI17" s="38"/>
      <c r="EJ17" s="36"/>
      <c r="EK17" s="37"/>
      <c r="EL17" s="38"/>
      <c r="EM17" s="36"/>
      <c r="EN17" s="37"/>
      <c r="EO17" s="38"/>
      <c r="EP17" s="36"/>
      <c r="EQ17" s="37"/>
      <c r="ER17" s="38"/>
      <c r="ES17" s="36"/>
      <c r="ET17" s="37"/>
      <c r="EU17" s="38"/>
      <c r="EV17" s="36"/>
      <c r="EW17" s="37"/>
      <c r="EX17" s="38"/>
      <c r="EY17" s="36"/>
      <c r="EZ17" s="37"/>
      <c r="FA17" s="38"/>
      <c r="FB17" s="36"/>
      <c r="FC17" s="37"/>
      <c r="FD17" s="38"/>
    </row>
    <row r="18" spans="1:160" x14ac:dyDescent="0.25">
      <c r="A18" s="32" t="s">
        <v>24</v>
      </c>
      <c r="B18" s="33">
        <f t="shared" si="0"/>
        <v>1</v>
      </c>
      <c r="C18" s="34">
        <f t="shared" si="0"/>
        <v>1</v>
      </c>
      <c r="D18" s="35">
        <f t="shared" si="0"/>
        <v>0</v>
      </c>
      <c r="E18" s="36">
        <v>0</v>
      </c>
      <c r="F18" s="37"/>
      <c r="G18" s="38"/>
      <c r="H18" s="36">
        <v>1</v>
      </c>
      <c r="I18" s="37"/>
      <c r="J18" s="38"/>
      <c r="K18" s="36">
        <v>0</v>
      </c>
      <c r="L18" s="37"/>
      <c r="M18" s="38"/>
      <c r="N18" s="36">
        <v>0</v>
      </c>
      <c r="O18" s="37"/>
      <c r="P18" s="38"/>
      <c r="Q18" s="29">
        <f>IFERROR(VLOOKUP($A18,'[1]05'!$A$4:$BH$96,54,FALSE),0)</f>
        <v>0</v>
      </c>
      <c r="R18" s="37">
        <f>IFERROR(VLOOKUP($A18,'[1]05'!$A$4:$BH$96,55,FALSE),0)</f>
        <v>1</v>
      </c>
      <c r="S18" s="38">
        <f>IFERROR(VLOOKUP($A18,'[1]05'!$A$4:$BH$96,56,FALSE),0)</f>
        <v>0</v>
      </c>
      <c r="T18" s="29">
        <f>IFERROR(VLOOKUP($A18,'[1]06'!$A$4:$BK$96,54,FALSE),0)</f>
        <v>0</v>
      </c>
      <c r="U18" s="37">
        <f>IFERROR(VLOOKUP($A18,'[1]06'!$A$4:$BK$96,56,FALSE),0)</f>
        <v>0</v>
      </c>
      <c r="V18" s="38">
        <f>IFERROR(VLOOKUP($A18,'[1]06'!$A$4:$BK$96,58,FALSE),0)</f>
        <v>0</v>
      </c>
      <c r="W18" s="29">
        <f>IFERROR(VLOOKUP($A18,'[1]06'!$A$4:$BK$96,54,FALSE),0)</f>
        <v>0</v>
      </c>
      <c r="X18" s="37">
        <f>IFERROR(VLOOKUP($A18,'[1]06'!$A$4:$BK$96,56,FALSE),0)</f>
        <v>0</v>
      </c>
      <c r="Y18" s="38">
        <f>IFERROR(VLOOKUP($A18,'[1]06'!$A$4:$BK$96,58,FALSE),0)</f>
        <v>0</v>
      </c>
      <c r="Z18" s="36"/>
      <c r="AA18" s="37"/>
      <c r="AB18" s="38"/>
      <c r="AC18" s="36"/>
      <c r="AD18" s="37"/>
      <c r="AE18" s="38"/>
      <c r="AF18" s="36"/>
      <c r="AG18" s="37"/>
      <c r="AH18" s="38"/>
      <c r="AI18" s="36"/>
      <c r="AJ18" s="37"/>
      <c r="AK18" s="38"/>
      <c r="AL18" s="36"/>
      <c r="AM18" s="37"/>
      <c r="AN18" s="38"/>
      <c r="AO18" s="36"/>
      <c r="AP18" s="37"/>
      <c r="AQ18" s="38"/>
      <c r="AR18" s="36"/>
      <c r="AS18" s="37"/>
      <c r="AT18" s="38"/>
      <c r="AU18" s="36"/>
      <c r="AV18" s="37"/>
      <c r="AW18" s="38"/>
      <c r="AX18" s="36"/>
      <c r="AY18" s="37"/>
      <c r="AZ18" s="38"/>
      <c r="BA18" s="36"/>
      <c r="BB18" s="37"/>
      <c r="BC18" s="38"/>
      <c r="BD18" s="36"/>
      <c r="BE18" s="37"/>
      <c r="BF18" s="38"/>
      <c r="BG18" s="36"/>
      <c r="BH18" s="37"/>
      <c r="BI18" s="38"/>
      <c r="BJ18" s="36"/>
      <c r="BK18" s="37"/>
      <c r="BL18" s="38"/>
      <c r="BM18" s="36"/>
      <c r="BN18" s="37"/>
      <c r="BO18" s="38"/>
      <c r="BP18" s="36"/>
      <c r="BQ18" s="37"/>
      <c r="BR18" s="38"/>
      <c r="BS18" s="36"/>
      <c r="BT18" s="37"/>
      <c r="BU18" s="38"/>
      <c r="BV18" s="36"/>
      <c r="BW18" s="37"/>
      <c r="BX18" s="38"/>
      <c r="BY18" s="36"/>
      <c r="BZ18" s="37"/>
      <c r="CA18" s="38"/>
      <c r="CB18" s="36"/>
      <c r="CC18" s="37"/>
      <c r="CD18" s="38"/>
      <c r="CE18" s="36"/>
      <c r="CF18" s="37"/>
      <c r="CG18" s="38"/>
      <c r="CH18" s="36"/>
      <c r="CI18" s="37"/>
      <c r="CJ18" s="38"/>
      <c r="CK18" s="36"/>
      <c r="CL18" s="37"/>
      <c r="CM18" s="38"/>
      <c r="CN18" s="36"/>
      <c r="CO18" s="37"/>
      <c r="CP18" s="38"/>
      <c r="CQ18" s="36"/>
      <c r="CR18" s="37"/>
      <c r="CS18" s="38"/>
      <c r="CT18" s="36"/>
      <c r="CU18" s="37"/>
      <c r="CV18" s="38"/>
      <c r="CW18" s="36"/>
      <c r="CX18" s="37"/>
      <c r="CY18" s="38"/>
      <c r="CZ18" s="36"/>
      <c r="DA18" s="37"/>
      <c r="DB18" s="38"/>
      <c r="DC18" s="36"/>
      <c r="DD18" s="37"/>
      <c r="DE18" s="38"/>
      <c r="DF18" s="36"/>
      <c r="DG18" s="37"/>
      <c r="DH18" s="38"/>
      <c r="DI18" s="36"/>
      <c r="DJ18" s="37"/>
      <c r="DK18" s="38"/>
      <c r="DL18" s="36"/>
      <c r="DM18" s="37"/>
      <c r="DN18" s="38"/>
      <c r="DO18" s="36"/>
      <c r="DP18" s="37"/>
      <c r="DQ18" s="38"/>
      <c r="DR18" s="36"/>
      <c r="DS18" s="37"/>
      <c r="DT18" s="38"/>
      <c r="DU18" s="36"/>
      <c r="DV18" s="37"/>
      <c r="DW18" s="38"/>
      <c r="DX18" s="36"/>
      <c r="DY18" s="37"/>
      <c r="DZ18" s="38"/>
      <c r="EA18" s="36"/>
      <c r="EB18" s="37"/>
      <c r="EC18" s="38"/>
      <c r="ED18" s="36"/>
      <c r="EE18" s="37"/>
      <c r="EF18" s="38"/>
      <c r="EG18" s="36"/>
      <c r="EH18" s="37"/>
      <c r="EI18" s="38"/>
      <c r="EJ18" s="36"/>
      <c r="EK18" s="37"/>
      <c r="EL18" s="38"/>
      <c r="EM18" s="36"/>
      <c r="EN18" s="37"/>
      <c r="EO18" s="38"/>
      <c r="EP18" s="36"/>
      <c r="EQ18" s="37"/>
      <c r="ER18" s="38"/>
      <c r="ES18" s="36"/>
      <c r="ET18" s="37"/>
      <c r="EU18" s="38"/>
      <c r="EV18" s="36"/>
      <c r="EW18" s="37"/>
      <c r="EX18" s="38"/>
      <c r="EY18" s="36"/>
      <c r="EZ18" s="37"/>
      <c r="FA18" s="38"/>
      <c r="FB18" s="36"/>
      <c r="FC18" s="37"/>
      <c r="FD18" s="38"/>
    </row>
    <row r="19" spans="1:160" x14ac:dyDescent="0.25">
      <c r="A19" s="32" t="s">
        <v>37</v>
      </c>
      <c r="B19" s="33">
        <f t="shared" si="0"/>
        <v>2</v>
      </c>
      <c r="C19" s="34">
        <f t="shared" si="0"/>
        <v>2</v>
      </c>
      <c r="D19" s="35">
        <f t="shared" si="0"/>
        <v>0</v>
      </c>
      <c r="E19" s="36">
        <v>0</v>
      </c>
      <c r="F19" s="37"/>
      <c r="G19" s="38"/>
      <c r="H19" s="36">
        <v>0</v>
      </c>
      <c r="I19" s="37"/>
      <c r="J19" s="38"/>
      <c r="K19" s="36">
        <v>0</v>
      </c>
      <c r="L19" s="37"/>
      <c r="M19" s="38"/>
      <c r="N19" s="36">
        <v>0</v>
      </c>
      <c r="O19" s="37"/>
      <c r="P19" s="38"/>
      <c r="Q19" s="29">
        <f>IFERROR(VLOOKUP($A19,'[1]05'!$A$4:$BH$96,54,FALSE),0)</f>
        <v>2</v>
      </c>
      <c r="R19" s="37">
        <f>IFERROR(VLOOKUP($A19,'[1]05'!$A$4:$BH$96,55,FALSE),0)</f>
        <v>2</v>
      </c>
      <c r="S19" s="38">
        <f>IFERROR(VLOOKUP($A19,'[1]05'!$A$4:$BH$96,56,FALSE),0)</f>
        <v>0</v>
      </c>
      <c r="T19" s="29">
        <f>IFERROR(VLOOKUP($A19,'[1]06'!$A$4:$BK$96,54,FALSE),0)</f>
        <v>0</v>
      </c>
      <c r="U19" s="37">
        <f>IFERROR(VLOOKUP($A19,'[1]06'!$A$4:$BK$96,56,FALSE),0)</f>
        <v>0</v>
      </c>
      <c r="V19" s="38">
        <f>IFERROR(VLOOKUP($A19,'[1]06'!$A$4:$BK$96,58,FALSE),0)</f>
        <v>0</v>
      </c>
      <c r="W19" s="29">
        <f>IFERROR(VLOOKUP($A19,'[1]06'!$A$4:$BK$96,54,FALSE),0)</f>
        <v>0</v>
      </c>
      <c r="X19" s="37">
        <f>IFERROR(VLOOKUP($A19,'[1]06'!$A$4:$BK$96,56,FALSE),0)</f>
        <v>0</v>
      </c>
      <c r="Y19" s="38">
        <f>IFERROR(VLOOKUP($A19,'[1]06'!$A$4:$BK$96,58,FALSE),0)</f>
        <v>0</v>
      </c>
      <c r="Z19" s="36"/>
      <c r="AA19" s="37"/>
      <c r="AB19" s="38"/>
      <c r="AC19" s="36"/>
      <c r="AD19" s="37"/>
      <c r="AE19" s="38"/>
      <c r="AF19" s="36"/>
      <c r="AG19" s="37"/>
      <c r="AH19" s="38"/>
      <c r="AI19" s="36"/>
      <c r="AJ19" s="37"/>
      <c r="AK19" s="38"/>
      <c r="AL19" s="36"/>
      <c r="AM19" s="37"/>
      <c r="AN19" s="38"/>
      <c r="AO19" s="36"/>
      <c r="AP19" s="37"/>
      <c r="AQ19" s="38"/>
      <c r="AR19" s="36"/>
      <c r="AS19" s="37"/>
      <c r="AT19" s="38"/>
      <c r="AU19" s="36"/>
      <c r="AV19" s="37"/>
      <c r="AW19" s="38"/>
      <c r="AX19" s="36"/>
      <c r="AY19" s="37"/>
      <c r="AZ19" s="38"/>
      <c r="BA19" s="36"/>
      <c r="BB19" s="37"/>
      <c r="BC19" s="38"/>
      <c r="BD19" s="36"/>
      <c r="BE19" s="37"/>
      <c r="BF19" s="38"/>
      <c r="BG19" s="36"/>
      <c r="BH19" s="37"/>
      <c r="BI19" s="38"/>
      <c r="BJ19" s="36"/>
      <c r="BK19" s="37"/>
      <c r="BL19" s="38"/>
      <c r="BM19" s="36"/>
      <c r="BN19" s="37"/>
      <c r="BO19" s="38"/>
      <c r="BP19" s="36"/>
      <c r="BQ19" s="37"/>
      <c r="BR19" s="38"/>
      <c r="BS19" s="36"/>
      <c r="BT19" s="37"/>
      <c r="BU19" s="38"/>
      <c r="BV19" s="36"/>
      <c r="BW19" s="37"/>
      <c r="BX19" s="38"/>
      <c r="BY19" s="36"/>
      <c r="BZ19" s="37"/>
      <c r="CA19" s="38"/>
      <c r="CB19" s="36"/>
      <c r="CC19" s="37"/>
      <c r="CD19" s="38"/>
      <c r="CE19" s="36"/>
      <c r="CF19" s="37"/>
      <c r="CG19" s="38"/>
      <c r="CH19" s="36"/>
      <c r="CI19" s="37"/>
      <c r="CJ19" s="38"/>
      <c r="CK19" s="36"/>
      <c r="CL19" s="37"/>
      <c r="CM19" s="38"/>
      <c r="CN19" s="36"/>
      <c r="CO19" s="37"/>
      <c r="CP19" s="38"/>
      <c r="CQ19" s="36"/>
      <c r="CR19" s="37"/>
      <c r="CS19" s="38"/>
      <c r="CT19" s="36"/>
      <c r="CU19" s="37"/>
      <c r="CV19" s="38"/>
      <c r="CW19" s="36"/>
      <c r="CX19" s="37"/>
      <c r="CY19" s="38"/>
      <c r="CZ19" s="36"/>
      <c r="DA19" s="37"/>
      <c r="DB19" s="38"/>
      <c r="DC19" s="36"/>
      <c r="DD19" s="37"/>
      <c r="DE19" s="38"/>
      <c r="DF19" s="36"/>
      <c r="DG19" s="37"/>
      <c r="DH19" s="38"/>
      <c r="DI19" s="36"/>
      <c r="DJ19" s="37"/>
      <c r="DK19" s="38"/>
      <c r="DL19" s="36"/>
      <c r="DM19" s="37"/>
      <c r="DN19" s="38"/>
      <c r="DO19" s="36"/>
      <c r="DP19" s="37"/>
      <c r="DQ19" s="38"/>
      <c r="DR19" s="36"/>
      <c r="DS19" s="37"/>
      <c r="DT19" s="38"/>
      <c r="DU19" s="36"/>
      <c r="DV19" s="37"/>
      <c r="DW19" s="38"/>
      <c r="DX19" s="36"/>
      <c r="DY19" s="37"/>
      <c r="DZ19" s="38"/>
      <c r="EA19" s="36"/>
      <c r="EB19" s="37"/>
      <c r="EC19" s="38"/>
      <c r="ED19" s="36"/>
      <c r="EE19" s="37"/>
      <c r="EF19" s="38"/>
      <c r="EG19" s="36"/>
      <c r="EH19" s="37"/>
      <c r="EI19" s="38"/>
      <c r="EJ19" s="36"/>
      <c r="EK19" s="37"/>
      <c r="EL19" s="38"/>
      <c r="EM19" s="36"/>
      <c r="EN19" s="37"/>
      <c r="EO19" s="38"/>
      <c r="EP19" s="36"/>
      <c r="EQ19" s="37"/>
      <c r="ER19" s="38"/>
      <c r="ES19" s="36"/>
      <c r="ET19" s="37"/>
      <c r="EU19" s="38"/>
      <c r="EV19" s="36"/>
      <c r="EW19" s="37"/>
      <c r="EX19" s="38"/>
      <c r="EY19" s="36"/>
      <c r="EZ19" s="37"/>
      <c r="FA19" s="38"/>
      <c r="FB19" s="36"/>
      <c r="FC19" s="37"/>
      <c r="FD19" s="38"/>
    </row>
    <row r="20" spans="1:160" x14ac:dyDescent="0.25">
      <c r="A20" s="32" t="s">
        <v>19</v>
      </c>
      <c r="B20" s="33">
        <f t="shared" si="0"/>
        <v>9</v>
      </c>
      <c r="C20" s="34">
        <f t="shared" si="0"/>
        <v>0</v>
      </c>
      <c r="D20" s="35">
        <f t="shared" si="0"/>
        <v>0</v>
      </c>
      <c r="E20" s="36">
        <v>2</v>
      </c>
      <c r="F20" s="37"/>
      <c r="G20" s="38"/>
      <c r="H20" s="36">
        <v>2</v>
      </c>
      <c r="I20" s="37"/>
      <c r="J20" s="38"/>
      <c r="K20" s="36">
        <v>0</v>
      </c>
      <c r="L20" s="37"/>
      <c r="M20" s="38"/>
      <c r="N20" s="36">
        <v>3</v>
      </c>
      <c r="O20" s="37"/>
      <c r="P20" s="38"/>
      <c r="Q20" s="29">
        <f>IFERROR(VLOOKUP($A20,'[1]05'!$A$4:$BH$96,54,FALSE),0)</f>
        <v>2</v>
      </c>
      <c r="R20" s="37">
        <f>IFERROR(VLOOKUP($A20,'[1]05'!$A$4:$BH$96,55,FALSE),0)</f>
        <v>0</v>
      </c>
      <c r="S20" s="38">
        <f>IFERROR(VLOOKUP($A20,'[1]05'!$A$4:$BH$96,56,FALSE),0)</f>
        <v>0</v>
      </c>
      <c r="T20" s="29">
        <f>IFERROR(VLOOKUP($A20,'[1]06'!$A$4:$BK$96,54,FALSE),0)</f>
        <v>0</v>
      </c>
      <c r="U20" s="37">
        <f>IFERROR(VLOOKUP($A20,'[1]06'!$A$4:$BK$96,56,FALSE),0)</f>
        <v>0</v>
      </c>
      <c r="V20" s="38">
        <f>IFERROR(VLOOKUP($A20,'[1]06'!$A$4:$BK$96,58,FALSE),0)</f>
        <v>0</v>
      </c>
      <c r="W20" s="29">
        <f>IFERROR(VLOOKUP($A20,'[1]06'!$A$4:$BK$96,54,FALSE),0)</f>
        <v>0</v>
      </c>
      <c r="X20" s="37">
        <f>IFERROR(VLOOKUP($A20,'[1]06'!$A$4:$BK$96,56,FALSE),0)</f>
        <v>0</v>
      </c>
      <c r="Y20" s="38">
        <f>IFERROR(VLOOKUP($A20,'[1]06'!$A$4:$BK$96,58,FALSE),0)</f>
        <v>0</v>
      </c>
      <c r="Z20" s="36"/>
      <c r="AA20" s="37"/>
      <c r="AB20" s="38"/>
      <c r="AC20" s="36"/>
      <c r="AD20" s="37"/>
      <c r="AE20" s="38"/>
      <c r="AF20" s="36"/>
      <c r="AG20" s="37"/>
      <c r="AH20" s="38"/>
      <c r="AI20" s="36"/>
      <c r="AJ20" s="37"/>
      <c r="AK20" s="38"/>
      <c r="AL20" s="36"/>
      <c r="AM20" s="37"/>
      <c r="AN20" s="38"/>
      <c r="AO20" s="36"/>
      <c r="AP20" s="37"/>
      <c r="AQ20" s="38"/>
      <c r="AR20" s="36"/>
      <c r="AS20" s="37"/>
      <c r="AT20" s="38"/>
      <c r="AU20" s="36"/>
      <c r="AV20" s="37"/>
      <c r="AW20" s="38"/>
      <c r="AX20" s="36"/>
      <c r="AY20" s="37"/>
      <c r="AZ20" s="38"/>
      <c r="BA20" s="36"/>
      <c r="BB20" s="37"/>
      <c r="BC20" s="38"/>
      <c r="BD20" s="36"/>
      <c r="BE20" s="37"/>
      <c r="BF20" s="38"/>
      <c r="BG20" s="36"/>
      <c r="BH20" s="37"/>
      <c r="BI20" s="38"/>
      <c r="BJ20" s="36"/>
      <c r="BK20" s="37"/>
      <c r="BL20" s="38"/>
      <c r="BM20" s="36"/>
      <c r="BN20" s="37"/>
      <c r="BO20" s="38"/>
      <c r="BP20" s="36"/>
      <c r="BQ20" s="37"/>
      <c r="BR20" s="38"/>
      <c r="BS20" s="36"/>
      <c r="BT20" s="37"/>
      <c r="BU20" s="38"/>
      <c r="BV20" s="36"/>
      <c r="BW20" s="37"/>
      <c r="BX20" s="38"/>
      <c r="BY20" s="36"/>
      <c r="BZ20" s="37"/>
      <c r="CA20" s="38"/>
      <c r="CB20" s="36"/>
      <c r="CC20" s="37"/>
      <c r="CD20" s="38"/>
      <c r="CE20" s="36"/>
      <c r="CF20" s="37"/>
      <c r="CG20" s="38"/>
      <c r="CH20" s="36"/>
      <c r="CI20" s="37"/>
      <c r="CJ20" s="38"/>
      <c r="CK20" s="36"/>
      <c r="CL20" s="37"/>
      <c r="CM20" s="38"/>
      <c r="CN20" s="36"/>
      <c r="CO20" s="37"/>
      <c r="CP20" s="38"/>
      <c r="CQ20" s="36"/>
      <c r="CR20" s="37"/>
      <c r="CS20" s="38"/>
      <c r="CT20" s="36"/>
      <c r="CU20" s="37"/>
      <c r="CV20" s="38"/>
      <c r="CW20" s="36"/>
      <c r="CX20" s="37"/>
      <c r="CY20" s="38"/>
      <c r="CZ20" s="36"/>
      <c r="DA20" s="37"/>
      <c r="DB20" s="38"/>
      <c r="DC20" s="36"/>
      <c r="DD20" s="37"/>
      <c r="DE20" s="38"/>
      <c r="DF20" s="36"/>
      <c r="DG20" s="37"/>
      <c r="DH20" s="38"/>
      <c r="DI20" s="36"/>
      <c r="DJ20" s="37"/>
      <c r="DK20" s="38"/>
      <c r="DL20" s="36"/>
      <c r="DM20" s="37"/>
      <c r="DN20" s="38"/>
      <c r="DO20" s="36"/>
      <c r="DP20" s="37"/>
      <c r="DQ20" s="38"/>
      <c r="DR20" s="36"/>
      <c r="DS20" s="37"/>
      <c r="DT20" s="38"/>
      <c r="DU20" s="36"/>
      <c r="DV20" s="37"/>
      <c r="DW20" s="38"/>
      <c r="DX20" s="36"/>
      <c r="DY20" s="37"/>
      <c r="DZ20" s="38"/>
      <c r="EA20" s="36"/>
      <c r="EB20" s="37"/>
      <c r="EC20" s="38"/>
      <c r="ED20" s="36"/>
      <c r="EE20" s="37"/>
      <c r="EF20" s="38"/>
      <c r="EG20" s="36"/>
      <c r="EH20" s="37"/>
      <c r="EI20" s="38"/>
      <c r="EJ20" s="36"/>
      <c r="EK20" s="37"/>
      <c r="EL20" s="38"/>
      <c r="EM20" s="36"/>
      <c r="EN20" s="37"/>
      <c r="EO20" s="38"/>
      <c r="EP20" s="36"/>
      <c r="EQ20" s="37"/>
      <c r="ER20" s="38"/>
      <c r="ES20" s="36"/>
      <c r="ET20" s="37"/>
      <c r="EU20" s="38"/>
      <c r="EV20" s="36"/>
      <c r="EW20" s="37"/>
      <c r="EX20" s="38"/>
      <c r="EY20" s="36"/>
      <c r="EZ20" s="37"/>
      <c r="FA20" s="38"/>
      <c r="FB20" s="36"/>
      <c r="FC20" s="37"/>
      <c r="FD20" s="38"/>
    </row>
    <row r="21" spans="1:160" x14ac:dyDescent="0.25">
      <c r="A21" s="32" t="s">
        <v>67</v>
      </c>
      <c r="B21" s="33">
        <f t="shared" si="0"/>
        <v>1</v>
      </c>
      <c r="C21" s="34">
        <f t="shared" si="0"/>
        <v>0</v>
      </c>
      <c r="D21" s="35">
        <f t="shared" si="0"/>
        <v>0</v>
      </c>
      <c r="E21" s="36">
        <v>0</v>
      </c>
      <c r="F21" s="37"/>
      <c r="G21" s="38"/>
      <c r="H21" s="36">
        <v>0</v>
      </c>
      <c r="I21" s="37"/>
      <c r="J21" s="38"/>
      <c r="K21" s="36">
        <v>0</v>
      </c>
      <c r="L21" s="37"/>
      <c r="M21" s="38"/>
      <c r="N21" s="36">
        <v>1</v>
      </c>
      <c r="O21" s="37"/>
      <c r="P21" s="38"/>
      <c r="Q21" s="29">
        <f>IFERROR(VLOOKUP($A21,'[1]05'!$A$4:$BH$96,54,FALSE),0)</f>
        <v>0</v>
      </c>
      <c r="R21" s="37">
        <f>IFERROR(VLOOKUP($A21,'[1]05'!$A$4:$BH$96,55,FALSE),0)</f>
        <v>0</v>
      </c>
      <c r="S21" s="38">
        <f>IFERROR(VLOOKUP($A21,'[1]05'!$A$4:$BH$96,56,FALSE),0)</f>
        <v>0</v>
      </c>
      <c r="T21" s="29">
        <f>IFERROR(VLOOKUP($A21,'[1]06'!$A$4:$BK$96,54,FALSE),0)</f>
        <v>0</v>
      </c>
      <c r="U21" s="37">
        <f>IFERROR(VLOOKUP($A21,'[1]06'!$A$4:$BK$96,56,FALSE),0)</f>
        <v>0</v>
      </c>
      <c r="V21" s="38">
        <f>IFERROR(VLOOKUP($A21,'[1]06'!$A$4:$BK$96,58,FALSE),0)</f>
        <v>0</v>
      </c>
      <c r="W21" s="29">
        <f>IFERROR(VLOOKUP($A21,'[1]06'!$A$4:$BK$96,54,FALSE),0)</f>
        <v>0</v>
      </c>
      <c r="X21" s="37">
        <f>IFERROR(VLOOKUP($A21,'[1]06'!$A$4:$BK$96,56,FALSE),0)</f>
        <v>0</v>
      </c>
      <c r="Y21" s="38">
        <f>IFERROR(VLOOKUP($A21,'[1]06'!$A$4:$BK$96,58,FALSE),0)</f>
        <v>0</v>
      </c>
      <c r="Z21" s="36"/>
      <c r="AA21" s="37"/>
      <c r="AB21" s="38"/>
      <c r="AC21" s="36"/>
      <c r="AD21" s="37"/>
      <c r="AE21" s="38"/>
      <c r="AF21" s="36"/>
      <c r="AG21" s="37"/>
      <c r="AH21" s="38"/>
      <c r="AI21" s="36"/>
      <c r="AJ21" s="37"/>
      <c r="AK21" s="38"/>
      <c r="AL21" s="36"/>
      <c r="AM21" s="37"/>
      <c r="AN21" s="38"/>
      <c r="AO21" s="36"/>
      <c r="AP21" s="37"/>
      <c r="AQ21" s="38"/>
      <c r="AR21" s="36"/>
      <c r="AS21" s="37"/>
      <c r="AT21" s="38"/>
      <c r="AU21" s="36"/>
      <c r="AV21" s="37"/>
      <c r="AW21" s="38"/>
      <c r="AX21" s="36"/>
      <c r="AY21" s="37"/>
      <c r="AZ21" s="38"/>
      <c r="BA21" s="36"/>
      <c r="BB21" s="37"/>
      <c r="BC21" s="38"/>
      <c r="BD21" s="36"/>
      <c r="BE21" s="37"/>
      <c r="BF21" s="38"/>
      <c r="BG21" s="36"/>
      <c r="BH21" s="37"/>
      <c r="BI21" s="38"/>
      <c r="BJ21" s="36"/>
      <c r="BK21" s="37"/>
      <c r="BL21" s="38"/>
      <c r="BM21" s="36"/>
      <c r="BN21" s="37"/>
      <c r="BO21" s="38"/>
      <c r="BP21" s="36"/>
      <c r="BQ21" s="37"/>
      <c r="BR21" s="38"/>
      <c r="BS21" s="36"/>
      <c r="BT21" s="37"/>
      <c r="BU21" s="38"/>
      <c r="BV21" s="36"/>
      <c r="BW21" s="37"/>
      <c r="BX21" s="38"/>
      <c r="BY21" s="36"/>
      <c r="BZ21" s="37"/>
      <c r="CA21" s="38"/>
      <c r="CB21" s="36"/>
      <c r="CC21" s="37"/>
      <c r="CD21" s="38"/>
      <c r="CE21" s="36"/>
      <c r="CF21" s="37"/>
      <c r="CG21" s="38"/>
      <c r="CH21" s="36"/>
      <c r="CI21" s="37"/>
      <c r="CJ21" s="38"/>
      <c r="CK21" s="36"/>
      <c r="CL21" s="37"/>
      <c r="CM21" s="38"/>
      <c r="CN21" s="36"/>
      <c r="CO21" s="37"/>
      <c r="CP21" s="38"/>
      <c r="CQ21" s="36"/>
      <c r="CR21" s="37"/>
      <c r="CS21" s="38"/>
      <c r="CT21" s="36"/>
      <c r="CU21" s="37"/>
      <c r="CV21" s="38"/>
      <c r="CW21" s="36"/>
      <c r="CX21" s="37"/>
      <c r="CY21" s="38"/>
      <c r="CZ21" s="36"/>
      <c r="DA21" s="37"/>
      <c r="DB21" s="38"/>
      <c r="DC21" s="36"/>
      <c r="DD21" s="37"/>
      <c r="DE21" s="38"/>
      <c r="DF21" s="36"/>
      <c r="DG21" s="37"/>
      <c r="DH21" s="38"/>
      <c r="DI21" s="36"/>
      <c r="DJ21" s="37"/>
      <c r="DK21" s="38"/>
      <c r="DL21" s="36"/>
      <c r="DM21" s="37"/>
      <c r="DN21" s="38"/>
      <c r="DO21" s="36"/>
      <c r="DP21" s="37"/>
      <c r="DQ21" s="38"/>
      <c r="DR21" s="36"/>
      <c r="DS21" s="37"/>
      <c r="DT21" s="38"/>
      <c r="DU21" s="36"/>
      <c r="DV21" s="37"/>
      <c r="DW21" s="38"/>
      <c r="DX21" s="36"/>
      <c r="DY21" s="37"/>
      <c r="DZ21" s="38"/>
      <c r="EA21" s="36"/>
      <c r="EB21" s="37"/>
      <c r="EC21" s="38"/>
      <c r="ED21" s="36"/>
      <c r="EE21" s="37"/>
      <c r="EF21" s="38"/>
      <c r="EG21" s="36"/>
      <c r="EH21" s="37"/>
      <c r="EI21" s="38"/>
      <c r="EJ21" s="36"/>
      <c r="EK21" s="37"/>
      <c r="EL21" s="38"/>
      <c r="EM21" s="36"/>
      <c r="EN21" s="37"/>
      <c r="EO21" s="38"/>
      <c r="EP21" s="36"/>
      <c r="EQ21" s="37"/>
      <c r="ER21" s="38"/>
      <c r="ES21" s="36"/>
      <c r="ET21" s="37"/>
      <c r="EU21" s="38"/>
      <c r="EV21" s="36"/>
      <c r="EW21" s="37"/>
      <c r="EX21" s="38"/>
      <c r="EY21" s="36"/>
      <c r="EZ21" s="37"/>
      <c r="FA21" s="38"/>
      <c r="FB21" s="36"/>
      <c r="FC21" s="37"/>
      <c r="FD21" s="38"/>
    </row>
    <row r="22" spans="1:160" x14ac:dyDescent="0.25">
      <c r="A22" s="32" t="s">
        <v>45</v>
      </c>
      <c r="B22" s="33">
        <f t="shared" si="0"/>
        <v>2</v>
      </c>
      <c r="C22" s="34">
        <f t="shared" si="0"/>
        <v>0</v>
      </c>
      <c r="D22" s="35">
        <f t="shared" si="0"/>
        <v>0</v>
      </c>
      <c r="E22" s="36">
        <v>2</v>
      </c>
      <c r="F22" s="37"/>
      <c r="G22" s="38"/>
      <c r="H22" s="36">
        <v>0</v>
      </c>
      <c r="I22" s="37"/>
      <c r="J22" s="38"/>
      <c r="K22" s="36">
        <v>0</v>
      </c>
      <c r="L22" s="37"/>
      <c r="M22" s="38"/>
      <c r="N22" s="36">
        <v>0</v>
      </c>
      <c r="O22" s="37"/>
      <c r="P22" s="38"/>
      <c r="Q22" s="29">
        <f>IFERROR(VLOOKUP($A22,'[1]05'!$A$4:$BH$96,54,FALSE),0)</f>
        <v>0</v>
      </c>
      <c r="R22" s="37">
        <f>IFERROR(VLOOKUP($A22,'[1]05'!$A$4:$BH$96,55,FALSE),0)</f>
        <v>0</v>
      </c>
      <c r="S22" s="38">
        <f>IFERROR(VLOOKUP($A22,'[1]05'!$A$4:$BH$96,56,FALSE),0)</f>
        <v>0</v>
      </c>
      <c r="T22" s="29">
        <f>IFERROR(VLOOKUP($A22,'[1]06'!$A$4:$BK$96,54,FALSE),0)</f>
        <v>0</v>
      </c>
      <c r="U22" s="37">
        <f>IFERROR(VLOOKUP($A22,'[1]06'!$A$4:$BK$96,56,FALSE),0)</f>
        <v>0</v>
      </c>
      <c r="V22" s="38">
        <f>IFERROR(VLOOKUP($A22,'[1]06'!$A$4:$BK$96,58,FALSE),0)</f>
        <v>0</v>
      </c>
      <c r="W22" s="29">
        <f>IFERROR(VLOOKUP($A22,'[1]06'!$A$4:$BK$96,54,FALSE),0)</f>
        <v>0</v>
      </c>
      <c r="X22" s="37">
        <f>IFERROR(VLOOKUP($A22,'[1]06'!$A$4:$BK$96,56,FALSE),0)</f>
        <v>0</v>
      </c>
      <c r="Y22" s="38">
        <f>IFERROR(VLOOKUP($A22,'[1]06'!$A$4:$BK$96,58,FALSE),0)</f>
        <v>0</v>
      </c>
      <c r="Z22" s="36"/>
      <c r="AA22" s="37"/>
      <c r="AB22" s="38"/>
      <c r="AC22" s="36"/>
      <c r="AD22" s="37"/>
      <c r="AE22" s="38"/>
      <c r="AF22" s="36"/>
      <c r="AG22" s="37"/>
      <c r="AH22" s="38"/>
      <c r="AI22" s="36"/>
      <c r="AJ22" s="37"/>
      <c r="AK22" s="38"/>
      <c r="AL22" s="36"/>
      <c r="AM22" s="37"/>
      <c r="AN22" s="38"/>
      <c r="AO22" s="36"/>
      <c r="AP22" s="37"/>
      <c r="AQ22" s="38"/>
      <c r="AR22" s="36"/>
      <c r="AS22" s="37"/>
      <c r="AT22" s="38"/>
      <c r="AU22" s="36"/>
      <c r="AV22" s="37"/>
      <c r="AW22" s="38"/>
      <c r="AX22" s="36"/>
      <c r="AY22" s="37"/>
      <c r="AZ22" s="38"/>
      <c r="BA22" s="36"/>
      <c r="BB22" s="37"/>
      <c r="BC22" s="38"/>
      <c r="BD22" s="36"/>
      <c r="BE22" s="37"/>
      <c r="BF22" s="38"/>
      <c r="BG22" s="36"/>
      <c r="BH22" s="37"/>
      <c r="BI22" s="38"/>
      <c r="BJ22" s="36"/>
      <c r="BK22" s="37"/>
      <c r="BL22" s="38"/>
      <c r="BM22" s="36"/>
      <c r="BN22" s="37"/>
      <c r="BO22" s="38"/>
      <c r="BP22" s="36"/>
      <c r="BQ22" s="37"/>
      <c r="BR22" s="38"/>
      <c r="BS22" s="36"/>
      <c r="BT22" s="37"/>
      <c r="BU22" s="38"/>
      <c r="BV22" s="36"/>
      <c r="BW22" s="37"/>
      <c r="BX22" s="38"/>
      <c r="BY22" s="36"/>
      <c r="BZ22" s="37"/>
      <c r="CA22" s="38"/>
      <c r="CB22" s="36"/>
      <c r="CC22" s="37"/>
      <c r="CD22" s="38"/>
      <c r="CE22" s="36"/>
      <c r="CF22" s="37"/>
      <c r="CG22" s="38"/>
      <c r="CH22" s="36"/>
      <c r="CI22" s="37"/>
      <c r="CJ22" s="38"/>
      <c r="CK22" s="36"/>
      <c r="CL22" s="37"/>
      <c r="CM22" s="38"/>
      <c r="CN22" s="36"/>
      <c r="CO22" s="37"/>
      <c r="CP22" s="38"/>
      <c r="CQ22" s="36"/>
      <c r="CR22" s="37"/>
      <c r="CS22" s="38"/>
      <c r="CT22" s="36"/>
      <c r="CU22" s="37"/>
      <c r="CV22" s="38"/>
      <c r="CW22" s="36"/>
      <c r="CX22" s="37"/>
      <c r="CY22" s="38"/>
      <c r="CZ22" s="36"/>
      <c r="DA22" s="37"/>
      <c r="DB22" s="38"/>
      <c r="DC22" s="36"/>
      <c r="DD22" s="37"/>
      <c r="DE22" s="38"/>
      <c r="DF22" s="36"/>
      <c r="DG22" s="37"/>
      <c r="DH22" s="38"/>
      <c r="DI22" s="36"/>
      <c r="DJ22" s="37"/>
      <c r="DK22" s="38"/>
      <c r="DL22" s="36"/>
      <c r="DM22" s="37"/>
      <c r="DN22" s="38"/>
      <c r="DO22" s="36"/>
      <c r="DP22" s="37"/>
      <c r="DQ22" s="38"/>
      <c r="DR22" s="36"/>
      <c r="DS22" s="37"/>
      <c r="DT22" s="38"/>
      <c r="DU22" s="36"/>
      <c r="DV22" s="37"/>
      <c r="DW22" s="38"/>
      <c r="DX22" s="36"/>
      <c r="DY22" s="37"/>
      <c r="DZ22" s="38"/>
      <c r="EA22" s="36"/>
      <c r="EB22" s="37"/>
      <c r="EC22" s="38"/>
      <c r="ED22" s="36"/>
      <c r="EE22" s="37"/>
      <c r="EF22" s="38"/>
      <c r="EG22" s="36"/>
      <c r="EH22" s="37"/>
      <c r="EI22" s="38"/>
      <c r="EJ22" s="36"/>
      <c r="EK22" s="37"/>
      <c r="EL22" s="38"/>
      <c r="EM22" s="36"/>
      <c r="EN22" s="37"/>
      <c r="EO22" s="38"/>
      <c r="EP22" s="36"/>
      <c r="EQ22" s="37"/>
      <c r="ER22" s="38"/>
      <c r="ES22" s="36"/>
      <c r="ET22" s="37"/>
      <c r="EU22" s="38"/>
      <c r="EV22" s="36"/>
      <c r="EW22" s="37"/>
      <c r="EX22" s="38"/>
      <c r="EY22" s="36"/>
      <c r="EZ22" s="37"/>
      <c r="FA22" s="38"/>
      <c r="FB22" s="36"/>
      <c r="FC22" s="37"/>
      <c r="FD22" s="38"/>
    </row>
    <row r="23" spans="1:160" x14ac:dyDescent="0.25">
      <c r="A23" s="32" t="s">
        <v>68</v>
      </c>
      <c r="B23" s="33">
        <f t="shared" si="0"/>
        <v>0</v>
      </c>
      <c r="C23" s="34">
        <f t="shared" si="0"/>
        <v>0</v>
      </c>
      <c r="D23" s="35">
        <f t="shared" si="0"/>
        <v>0</v>
      </c>
      <c r="E23" s="36">
        <v>0</v>
      </c>
      <c r="F23" s="37"/>
      <c r="G23" s="38"/>
      <c r="H23" s="36">
        <v>0</v>
      </c>
      <c r="I23" s="37"/>
      <c r="J23" s="38"/>
      <c r="K23" s="36">
        <v>0</v>
      </c>
      <c r="L23" s="37"/>
      <c r="M23" s="38"/>
      <c r="N23" s="36">
        <v>0</v>
      </c>
      <c r="O23" s="37"/>
      <c r="P23" s="38"/>
      <c r="Q23" s="29">
        <f>IFERROR(VLOOKUP($A23,'[1]05'!$A$4:$BH$96,54,FALSE),0)</f>
        <v>0</v>
      </c>
      <c r="R23" s="37">
        <f>IFERROR(VLOOKUP($A23,'[1]05'!$A$4:$BH$96,55,FALSE),0)</f>
        <v>0</v>
      </c>
      <c r="S23" s="38">
        <f>IFERROR(VLOOKUP($A23,'[1]05'!$A$4:$BH$96,56,FALSE),0)</f>
        <v>0</v>
      </c>
      <c r="T23" s="29">
        <f>IFERROR(VLOOKUP($A23,'[1]06'!$A$4:$BK$96,54,FALSE),0)</f>
        <v>0</v>
      </c>
      <c r="U23" s="37">
        <f>IFERROR(VLOOKUP($A23,'[1]06'!$A$4:$BK$96,56,FALSE),0)</f>
        <v>0</v>
      </c>
      <c r="V23" s="38">
        <f>IFERROR(VLOOKUP($A23,'[1]06'!$A$4:$BK$96,58,FALSE),0)</f>
        <v>0</v>
      </c>
      <c r="W23" s="29">
        <f>IFERROR(VLOOKUP($A23,'[1]06'!$A$4:$BK$96,54,FALSE),0)</f>
        <v>0</v>
      </c>
      <c r="X23" s="37">
        <f>IFERROR(VLOOKUP($A23,'[1]06'!$A$4:$BK$96,56,FALSE),0)</f>
        <v>0</v>
      </c>
      <c r="Y23" s="38">
        <f>IFERROR(VLOOKUP($A23,'[1]06'!$A$4:$BK$96,58,FALSE),0)</f>
        <v>0</v>
      </c>
      <c r="Z23" s="36"/>
      <c r="AA23" s="37"/>
      <c r="AB23" s="38"/>
      <c r="AC23" s="36"/>
      <c r="AD23" s="37"/>
      <c r="AE23" s="38"/>
      <c r="AF23" s="36"/>
      <c r="AG23" s="37"/>
      <c r="AH23" s="38"/>
      <c r="AI23" s="36"/>
      <c r="AJ23" s="37"/>
      <c r="AK23" s="38"/>
      <c r="AL23" s="36"/>
      <c r="AM23" s="37"/>
      <c r="AN23" s="38"/>
      <c r="AO23" s="36"/>
      <c r="AP23" s="37"/>
      <c r="AQ23" s="38"/>
      <c r="AR23" s="36"/>
      <c r="AS23" s="37"/>
      <c r="AT23" s="38"/>
      <c r="AU23" s="36"/>
      <c r="AV23" s="37"/>
      <c r="AW23" s="38"/>
      <c r="AX23" s="36"/>
      <c r="AY23" s="37"/>
      <c r="AZ23" s="38"/>
      <c r="BA23" s="36"/>
      <c r="BB23" s="37"/>
      <c r="BC23" s="38"/>
      <c r="BD23" s="36"/>
      <c r="BE23" s="37"/>
      <c r="BF23" s="38"/>
      <c r="BG23" s="36"/>
      <c r="BH23" s="37"/>
      <c r="BI23" s="38"/>
      <c r="BJ23" s="36"/>
      <c r="BK23" s="37"/>
      <c r="BL23" s="38"/>
      <c r="BM23" s="36"/>
      <c r="BN23" s="37"/>
      <c r="BO23" s="38"/>
      <c r="BP23" s="36"/>
      <c r="BQ23" s="37"/>
      <c r="BR23" s="38"/>
      <c r="BS23" s="36"/>
      <c r="BT23" s="37"/>
      <c r="BU23" s="38"/>
      <c r="BV23" s="36"/>
      <c r="BW23" s="37"/>
      <c r="BX23" s="38"/>
      <c r="BY23" s="36"/>
      <c r="BZ23" s="37"/>
      <c r="CA23" s="38"/>
      <c r="CB23" s="36"/>
      <c r="CC23" s="37"/>
      <c r="CD23" s="38"/>
      <c r="CE23" s="36"/>
      <c r="CF23" s="37"/>
      <c r="CG23" s="38"/>
      <c r="CH23" s="36"/>
      <c r="CI23" s="37"/>
      <c r="CJ23" s="38"/>
      <c r="CK23" s="36"/>
      <c r="CL23" s="37"/>
      <c r="CM23" s="38"/>
      <c r="CN23" s="36"/>
      <c r="CO23" s="37"/>
      <c r="CP23" s="38"/>
      <c r="CQ23" s="36"/>
      <c r="CR23" s="37"/>
      <c r="CS23" s="38"/>
      <c r="CT23" s="36"/>
      <c r="CU23" s="37"/>
      <c r="CV23" s="38"/>
      <c r="CW23" s="36"/>
      <c r="CX23" s="37"/>
      <c r="CY23" s="38"/>
      <c r="CZ23" s="36"/>
      <c r="DA23" s="37"/>
      <c r="DB23" s="38"/>
      <c r="DC23" s="36"/>
      <c r="DD23" s="37"/>
      <c r="DE23" s="38"/>
      <c r="DF23" s="36"/>
      <c r="DG23" s="37"/>
      <c r="DH23" s="38"/>
      <c r="DI23" s="36"/>
      <c r="DJ23" s="37"/>
      <c r="DK23" s="38"/>
      <c r="DL23" s="36"/>
      <c r="DM23" s="37"/>
      <c r="DN23" s="38"/>
      <c r="DO23" s="36"/>
      <c r="DP23" s="37"/>
      <c r="DQ23" s="38"/>
      <c r="DR23" s="36"/>
      <c r="DS23" s="37"/>
      <c r="DT23" s="38"/>
      <c r="DU23" s="36"/>
      <c r="DV23" s="37"/>
      <c r="DW23" s="38"/>
      <c r="DX23" s="36"/>
      <c r="DY23" s="37"/>
      <c r="DZ23" s="38"/>
      <c r="EA23" s="36"/>
      <c r="EB23" s="37"/>
      <c r="EC23" s="38"/>
      <c r="ED23" s="36"/>
      <c r="EE23" s="37"/>
      <c r="EF23" s="38"/>
      <c r="EG23" s="36"/>
      <c r="EH23" s="37"/>
      <c r="EI23" s="38"/>
      <c r="EJ23" s="36"/>
      <c r="EK23" s="37"/>
      <c r="EL23" s="38"/>
      <c r="EM23" s="36"/>
      <c r="EN23" s="37"/>
      <c r="EO23" s="38"/>
      <c r="EP23" s="36"/>
      <c r="EQ23" s="37"/>
      <c r="ER23" s="38"/>
      <c r="ES23" s="36"/>
      <c r="ET23" s="37"/>
      <c r="EU23" s="38"/>
      <c r="EV23" s="36"/>
      <c r="EW23" s="37"/>
      <c r="EX23" s="38"/>
      <c r="EY23" s="36"/>
      <c r="EZ23" s="37"/>
      <c r="FA23" s="38"/>
      <c r="FB23" s="36"/>
      <c r="FC23" s="37"/>
      <c r="FD23" s="38"/>
    </row>
    <row r="24" spans="1:160" x14ac:dyDescent="0.25">
      <c r="A24" s="32" t="s">
        <v>69</v>
      </c>
      <c r="B24" s="33">
        <f t="shared" ref="B24:D43" si="1">SUMIF($E$3:$FD$3,B$3,$E24:$FD24)</f>
        <v>0</v>
      </c>
      <c r="C24" s="34">
        <f t="shared" si="1"/>
        <v>0</v>
      </c>
      <c r="D24" s="35">
        <f t="shared" si="1"/>
        <v>0</v>
      </c>
      <c r="E24" s="36">
        <v>0</v>
      </c>
      <c r="F24" s="37"/>
      <c r="G24" s="38"/>
      <c r="H24" s="36">
        <v>0</v>
      </c>
      <c r="I24" s="37"/>
      <c r="J24" s="38"/>
      <c r="K24" s="36">
        <v>0</v>
      </c>
      <c r="L24" s="37"/>
      <c r="M24" s="38"/>
      <c r="N24" s="36">
        <v>0</v>
      </c>
      <c r="O24" s="37"/>
      <c r="P24" s="38"/>
      <c r="Q24" s="29">
        <f>IFERROR(VLOOKUP($A24,'[1]05'!$A$4:$BH$96,54,FALSE),0)</f>
        <v>0</v>
      </c>
      <c r="R24" s="37">
        <f>IFERROR(VLOOKUP($A24,'[1]05'!$A$4:$BH$96,55,FALSE),0)</f>
        <v>0</v>
      </c>
      <c r="S24" s="38">
        <f>IFERROR(VLOOKUP($A24,'[1]05'!$A$4:$BH$96,56,FALSE),0)</f>
        <v>0</v>
      </c>
      <c r="T24" s="29">
        <f>IFERROR(VLOOKUP($A24,'[1]06'!$A$4:$BK$96,54,FALSE),0)</f>
        <v>0</v>
      </c>
      <c r="U24" s="37">
        <f>IFERROR(VLOOKUP($A24,'[1]06'!$A$4:$BK$96,56,FALSE),0)</f>
        <v>0</v>
      </c>
      <c r="V24" s="38">
        <f>IFERROR(VLOOKUP($A24,'[1]06'!$A$4:$BK$96,58,FALSE),0)</f>
        <v>0</v>
      </c>
      <c r="W24" s="29">
        <f>IFERROR(VLOOKUP($A24,'[1]06'!$A$4:$BK$96,54,FALSE),0)</f>
        <v>0</v>
      </c>
      <c r="X24" s="37">
        <f>IFERROR(VLOOKUP($A24,'[1]06'!$A$4:$BK$96,56,FALSE),0)</f>
        <v>0</v>
      </c>
      <c r="Y24" s="38">
        <f>IFERROR(VLOOKUP($A24,'[1]06'!$A$4:$BK$96,58,FALSE),0)</f>
        <v>0</v>
      </c>
      <c r="Z24" s="36"/>
      <c r="AA24" s="37"/>
      <c r="AB24" s="38"/>
      <c r="AC24" s="36"/>
      <c r="AD24" s="37"/>
      <c r="AE24" s="38"/>
      <c r="AF24" s="36"/>
      <c r="AG24" s="37"/>
      <c r="AH24" s="38"/>
      <c r="AI24" s="36"/>
      <c r="AJ24" s="37"/>
      <c r="AK24" s="38"/>
      <c r="AL24" s="36"/>
      <c r="AM24" s="37"/>
      <c r="AN24" s="38"/>
      <c r="AO24" s="36"/>
      <c r="AP24" s="37"/>
      <c r="AQ24" s="38"/>
      <c r="AR24" s="36"/>
      <c r="AS24" s="37"/>
      <c r="AT24" s="38"/>
      <c r="AU24" s="36"/>
      <c r="AV24" s="37"/>
      <c r="AW24" s="38"/>
      <c r="AX24" s="36"/>
      <c r="AY24" s="37"/>
      <c r="AZ24" s="38"/>
      <c r="BA24" s="36"/>
      <c r="BB24" s="37"/>
      <c r="BC24" s="38"/>
      <c r="BD24" s="36"/>
      <c r="BE24" s="37"/>
      <c r="BF24" s="38"/>
      <c r="BG24" s="36"/>
      <c r="BH24" s="37"/>
      <c r="BI24" s="38"/>
      <c r="BJ24" s="36"/>
      <c r="BK24" s="37"/>
      <c r="BL24" s="38"/>
      <c r="BM24" s="36"/>
      <c r="BN24" s="37"/>
      <c r="BO24" s="38"/>
      <c r="BP24" s="36"/>
      <c r="BQ24" s="37"/>
      <c r="BR24" s="38"/>
      <c r="BS24" s="36"/>
      <c r="BT24" s="37"/>
      <c r="BU24" s="38"/>
      <c r="BV24" s="36"/>
      <c r="BW24" s="37"/>
      <c r="BX24" s="38"/>
      <c r="BY24" s="36"/>
      <c r="BZ24" s="37"/>
      <c r="CA24" s="38"/>
      <c r="CB24" s="36"/>
      <c r="CC24" s="37"/>
      <c r="CD24" s="38"/>
      <c r="CE24" s="36"/>
      <c r="CF24" s="37"/>
      <c r="CG24" s="38"/>
      <c r="CH24" s="36"/>
      <c r="CI24" s="37"/>
      <c r="CJ24" s="38"/>
      <c r="CK24" s="36"/>
      <c r="CL24" s="37"/>
      <c r="CM24" s="38"/>
      <c r="CN24" s="36"/>
      <c r="CO24" s="37"/>
      <c r="CP24" s="38"/>
      <c r="CQ24" s="36"/>
      <c r="CR24" s="37"/>
      <c r="CS24" s="38"/>
      <c r="CT24" s="36"/>
      <c r="CU24" s="37"/>
      <c r="CV24" s="38"/>
      <c r="CW24" s="36"/>
      <c r="CX24" s="37"/>
      <c r="CY24" s="38"/>
      <c r="CZ24" s="36"/>
      <c r="DA24" s="37"/>
      <c r="DB24" s="38"/>
      <c r="DC24" s="36"/>
      <c r="DD24" s="37"/>
      <c r="DE24" s="38"/>
      <c r="DF24" s="36"/>
      <c r="DG24" s="37"/>
      <c r="DH24" s="38"/>
      <c r="DI24" s="36"/>
      <c r="DJ24" s="37"/>
      <c r="DK24" s="38"/>
      <c r="DL24" s="36"/>
      <c r="DM24" s="37"/>
      <c r="DN24" s="38"/>
      <c r="DO24" s="36"/>
      <c r="DP24" s="37"/>
      <c r="DQ24" s="38"/>
      <c r="DR24" s="36"/>
      <c r="DS24" s="37"/>
      <c r="DT24" s="38"/>
      <c r="DU24" s="36"/>
      <c r="DV24" s="37"/>
      <c r="DW24" s="38"/>
      <c r="DX24" s="36"/>
      <c r="DY24" s="37"/>
      <c r="DZ24" s="38"/>
      <c r="EA24" s="36"/>
      <c r="EB24" s="37"/>
      <c r="EC24" s="38"/>
      <c r="ED24" s="36"/>
      <c r="EE24" s="37"/>
      <c r="EF24" s="38"/>
      <c r="EG24" s="36"/>
      <c r="EH24" s="37"/>
      <c r="EI24" s="38"/>
      <c r="EJ24" s="36"/>
      <c r="EK24" s="37"/>
      <c r="EL24" s="38"/>
      <c r="EM24" s="36"/>
      <c r="EN24" s="37"/>
      <c r="EO24" s="38"/>
      <c r="EP24" s="36"/>
      <c r="EQ24" s="37"/>
      <c r="ER24" s="38"/>
      <c r="ES24" s="36"/>
      <c r="ET24" s="37"/>
      <c r="EU24" s="38"/>
      <c r="EV24" s="36"/>
      <c r="EW24" s="37"/>
      <c r="EX24" s="38"/>
      <c r="EY24" s="36"/>
      <c r="EZ24" s="37"/>
      <c r="FA24" s="38"/>
      <c r="FB24" s="36"/>
      <c r="FC24" s="37"/>
      <c r="FD24" s="38"/>
    </row>
    <row r="25" spans="1:160" x14ac:dyDescent="0.25">
      <c r="A25" s="32" t="s">
        <v>36</v>
      </c>
      <c r="B25" s="33">
        <f t="shared" si="1"/>
        <v>3</v>
      </c>
      <c r="C25" s="34">
        <f t="shared" si="1"/>
        <v>1</v>
      </c>
      <c r="D25" s="35">
        <f t="shared" si="1"/>
        <v>0</v>
      </c>
      <c r="E25" s="36">
        <v>0</v>
      </c>
      <c r="F25" s="37"/>
      <c r="G25" s="38"/>
      <c r="H25" s="36">
        <v>1</v>
      </c>
      <c r="I25" s="37"/>
      <c r="J25" s="38"/>
      <c r="K25" s="36">
        <v>1</v>
      </c>
      <c r="L25" s="37"/>
      <c r="M25" s="38"/>
      <c r="N25" s="36">
        <v>0</v>
      </c>
      <c r="O25" s="37"/>
      <c r="P25" s="38"/>
      <c r="Q25" s="29">
        <f>IFERROR(VLOOKUP($A25,'[1]05'!$A$4:$BH$96,54,FALSE),0)</f>
        <v>1</v>
      </c>
      <c r="R25" s="37">
        <f>IFERROR(VLOOKUP($A25,'[1]05'!$A$4:$BH$96,55,FALSE),0)</f>
        <v>1</v>
      </c>
      <c r="S25" s="38">
        <f>IFERROR(VLOOKUP($A25,'[1]05'!$A$4:$BH$96,56,FALSE),0)</f>
        <v>0</v>
      </c>
      <c r="T25" s="29">
        <f>IFERROR(VLOOKUP($A25,'[1]06'!$A$4:$BK$96,54,FALSE),0)</f>
        <v>0</v>
      </c>
      <c r="U25" s="37">
        <f>IFERROR(VLOOKUP($A25,'[1]06'!$A$4:$BK$96,56,FALSE),0)</f>
        <v>0</v>
      </c>
      <c r="V25" s="38">
        <f>IFERROR(VLOOKUP($A25,'[1]06'!$A$4:$BK$96,58,FALSE),0)</f>
        <v>0</v>
      </c>
      <c r="W25" s="29">
        <f>IFERROR(VLOOKUP($A25,'[1]06'!$A$4:$BK$96,54,FALSE),0)</f>
        <v>0</v>
      </c>
      <c r="X25" s="37">
        <f>IFERROR(VLOOKUP($A25,'[1]06'!$A$4:$BK$96,56,FALSE),0)</f>
        <v>0</v>
      </c>
      <c r="Y25" s="38">
        <f>IFERROR(VLOOKUP($A25,'[1]06'!$A$4:$BK$96,58,FALSE),0)</f>
        <v>0</v>
      </c>
      <c r="Z25" s="36"/>
      <c r="AA25" s="37"/>
      <c r="AB25" s="38"/>
      <c r="AC25" s="36"/>
      <c r="AD25" s="37"/>
      <c r="AE25" s="38"/>
      <c r="AF25" s="36"/>
      <c r="AG25" s="37"/>
      <c r="AH25" s="38"/>
      <c r="AI25" s="36"/>
      <c r="AJ25" s="37"/>
      <c r="AK25" s="38"/>
      <c r="AL25" s="36"/>
      <c r="AM25" s="37"/>
      <c r="AN25" s="38"/>
      <c r="AO25" s="36"/>
      <c r="AP25" s="37"/>
      <c r="AQ25" s="38"/>
      <c r="AR25" s="36"/>
      <c r="AS25" s="37"/>
      <c r="AT25" s="38"/>
      <c r="AU25" s="36"/>
      <c r="AV25" s="37"/>
      <c r="AW25" s="38"/>
      <c r="AX25" s="36"/>
      <c r="AY25" s="37"/>
      <c r="AZ25" s="38"/>
      <c r="BA25" s="36"/>
      <c r="BB25" s="37"/>
      <c r="BC25" s="38"/>
      <c r="BD25" s="36"/>
      <c r="BE25" s="37"/>
      <c r="BF25" s="38"/>
      <c r="BG25" s="36"/>
      <c r="BH25" s="37"/>
      <c r="BI25" s="38"/>
      <c r="BJ25" s="36"/>
      <c r="BK25" s="37"/>
      <c r="BL25" s="38"/>
      <c r="BM25" s="36"/>
      <c r="BN25" s="37"/>
      <c r="BO25" s="38"/>
      <c r="BP25" s="36"/>
      <c r="BQ25" s="37"/>
      <c r="BR25" s="38"/>
      <c r="BS25" s="36"/>
      <c r="BT25" s="37"/>
      <c r="BU25" s="38"/>
      <c r="BV25" s="36"/>
      <c r="BW25" s="37"/>
      <c r="BX25" s="38"/>
      <c r="BY25" s="36"/>
      <c r="BZ25" s="37"/>
      <c r="CA25" s="38"/>
      <c r="CB25" s="36"/>
      <c r="CC25" s="37"/>
      <c r="CD25" s="38"/>
      <c r="CE25" s="36"/>
      <c r="CF25" s="37"/>
      <c r="CG25" s="38"/>
      <c r="CH25" s="36"/>
      <c r="CI25" s="37"/>
      <c r="CJ25" s="38"/>
      <c r="CK25" s="36"/>
      <c r="CL25" s="37"/>
      <c r="CM25" s="38"/>
      <c r="CN25" s="36"/>
      <c r="CO25" s="37"/>
      <c r="CP25" s="38"/>
      <c r="CQ25" s="36"/>
      <c r="CR25" s="37"/>
      <c r="CS25" s="38"/>
      <c r="CT25" s="36"/>
      <c r="CU25" s="37"/>
      <c r="CV25" s="38"/>
      <c r="CW25" s="36"/>
      <c r="CX25" s="37"/>
      <c r="CY25" s="38"/>
      <c r="CZ25" s="36"/>
      <c r="DA25" s="37"/>
      <c r="DB25" s="38"/>
      <c r="DC25" s="36"/>
      <c r="DD25" s="37"/>
      <c r="DE25" s="38"/>
      <c r="DF25" s="36"/>
      <c r="DG25" s="37"/>
      <c r="DH25" s="38"/>
      <c r="DI25" s="36"/>
      <c r="DJ25" s="37"/>
      <c r="DK25" s="38"/>
      <c r="DL25" s="36"/>
      <c r="DM25" s="37"/>
      <c r="DN25" s="38"/>
      <c r="DO25" s="36"/>
      <c r="DP25" s="37"/>
      <c r="DQ25" s="38"/>
      <c r="DR25" s="36"/>
      <c r="DS25" s="37"/>
      <c r="DT25" s="38"/>
      <c r="DU25" s="36"/>
      <c r="DV25" s="37"/>
      <c r="DW25" s="38"/>
      <c r="DX25" s="36"/>
      <c r="DY25" s="37"/>
      <c r="DZ25" s="38"/>
      <c r="EA25" s="36"/>
      <c r="EB25" s="37"/>
      <c r="EC25" s="38"/>
      <c r="ED25" s="36"/>
      <c r="EE25" s="37"/>
      <c r="EF25" s="38"/>
      <c r="EG25" s="36"/>
      <c r="EH25" s="37"/>
      <c r="EI25" s="38"/>
      <c r="EJ25" s="36"/>
      <c r="EK25" s="37"/>
      <c r="EL25" s="38"/>
      <c r="EM25" s="36"/>
      <c r="EN25" s="37"/>
      <c r="EO25" s="38"/>
      <c r="EP25" s="36"/>
      <c r="EQ25" s="37"/>
      <c r="ER25" s="38"/>
      <c r="ES25" s="36"/>
      <c r="ET25" s="37"/>
      <c r="EU25" s="38"/>
      <c r="EV25" s="36"/>
      <c r="EW25" s="37"/>
      <c r="EX25" s="38"/>
      <c r="EY25" s="36"/>
      <c r="EZ25" s="37"/>
      <c r="FA25" s="38"/>
      <c r="FB25" s="36"/>
      <c r="FC25" s="37"/>
      <c r="FD25" s="38"/>
    </row>
    <row r="26" spans="1:160" x14ac:dyDescent="0.25">
      <c r="A26" s="32" t="s">
        <v>70</v>
      </c>
      <c r="B26" s="33">
        <f t="shared" si="1"/>
        <v>0</v>
      </c>
      <c r="C26" s="34">
        <f t="shared" si="1"/>
        <v>0</v>
      </c>
      <c r="D26" s="35">
        <f t="shared" si="1"/>
        <v>0</v>
      </c>
      <c r="E26" s="36">
        <v>0</v>
      </c>
      <c r="F26" s="37"/>
      <c r="G26" s="38"/>
      <c r="H26" s="36">
        <v>0</v>
      </c>
      <c r="I26" s="37"/>
      <c r="J26" s="38"/>
      <c r="K26" s="36">
        <v>0</v>
      </c>
      <c r="L26" s="37"/>
      <c r="M26" s="38"/>
      <c r="N26" s="36">
        <v>0</v>
      </c>
      <c r="O26" s="37"/>
      <c r="P26" s="38"/>
      <c r="Q26" s="29">
        <f>IFERROR(VLOOKUP($A26,'[1]05'!$A$4:$BH$96,54,FALSE),0)</f>
        <v>0</v>
      </c>
      <c r="R26" s="37">
        <f>IFERROR(VLOOKUP($A26,'[1]05'!$A$4:$BH$96,55,FALSE),0)</f>
        <v>0</v>
      </c>
      <c r="S26" s="38">
        <f>IFERROR(VLOOKUP($A26,'[1]05'!$A$4:$BH$96,56,FALSE),0)</f>
        <v>0</v>
      </c>
      <c r="T26" s="29">
        <f>IFERROR(VLOOKUP($A26,'[1]06'!$A$4:$BK$96,54,FALSE),0)</f>
        <v>0</v>
      </c>
      <c r="U26" s="37">
        <f>IFERROR(VLOOKUP($A26,'[1]06'!$A$4:$BK$96,56,FALSE),0)</f>
        <v>0</v>
      </c>
      <c r="V26" s="38">
        <f>IFERROR(VLOOKUP($A26,'[1]06'!$A$4:$BK$96,58,FALSE),0)</f>
        <v>0</v>
      </c>
      <c r="W26" s="29">
        <f>IFERROR(VLOOKUP($A26,'[1]06'!$A$4:$BK$96,54,FALSE),0)</f>
        <v>0</v>
      </c>
      <c r="X26" s="37">
        <f>IFERROR(VLOOKUP($A26,'[1]06'!$A$4:$BK$96,56,FALSE),0)</f>
        <v>0</v>
      </c>
      <c r="Y26" s="38">
        <f>IFERROR(VLOOKUP($A26,'[1]06'!$A$4:$BK$96,58,FALSE),0)</f>
        <v>0</v>
      </c>
      <c r="Z26" s="36"/>
      <c r="AA26" s="37"/>
      <c r="AB26" s="38"/>
      <c r="AC26" s="36"/>
      <c r="AD26" s="37"/>
      <c r="AE26" s="38"/>
      <c r="AF26" s="36"/>
      <c r="AG26" s="37"/>
      <c r="AH26" s="38"/>
      <c r="AI26" s="36"/>
      <c r="AJ26" s="37"/>
      <c r="AK26" s="38"/>
      <c r="AL26" s="36"/>
      <c r="AM26" s="37"/>
      <c r="AN26" s="38"/>
      <c r="AO26" s="36"/>
      <c r="AP26" s="37"/>
      <c r="AQ26" s="38"/>
      <c r="AR26" s="36"/>
      <c r="AS26" s="37"/>
      <c r="AT26" s="38"/>
      <c r="AU26" s="36"/>
      <c r="AV26" s="37"/>
      <c r="AW26" s="38"/>
      <c r="AX26" s="36"/>
      <c r="AY26" s="37"/>
      <c r="AZ26" s="38"/>
      <c r="BA26" s="36"/>
      <c r="BB26" s="37"/>
      <c r="BC26" s="38"/>
      <c r="BD26" s="36"/>
      <c r="BE26" s="37"/>
      <c r="BF26" s="38"/>
      <c r="BG26" s="36"/>
      <c r="BH26" s="37"/>
      <c r="BI26" s="38"/>
      <c r="BJ26" s="36"/>
      <c r="BK26" s="37"/>
      <c r="BL26" s="38"/>
      <c r="BM26" s="36"/>
      <c r="BN26" s="37"/>
      <c r="BO26" s="38"/>
      <c r="BP26" s="36"/>
      <c r="BQ26" s="37"/>
      <c r="BR26" s="38"/>
      <c r="BS26" s="36"/>
      <c r="BT26" s="37"/>
      <c r="BU26" s="38"/>
      <c r="BV26" s="36"/>
      <c r="BW26" s="37"/>
      <c r="BX26" s="38"/>
      <c r="BY26" s="36"/>
      <c r="BZ26" s="37"/>
      <c r="CA26" s="38"/>
      <c r="CB26" s="36"/>
      <c r="CC26" s="37"/>
      <c r="CD26" s="38"/>
      <c r="CE26" s="36"/>
      <c r="CF26" s="37"/>
      <c r="CG26" s="38"/>
      <c r="CH26" s="36"/>
      <c r="CI26" s="37"/>
      <c r="CJ26" s="38"/>
      <c r="CK26" s="36"/>
      <c r="CL26" s="37"/>
      <c r="CM26" s="38"/>
      <c r="CN26" s="36"/>
      <c r="CO26" s="37"/>
      <c r="CP26" s="38"/>
      <c r="CQ26" s="36"/>
      <c r="CR26" s="37"/>
      <c r="CS26" s="38"/>
      <c r="CT26" s="36"/>
      <c r="CU26" s="37"/>
      <c r="CV26" s="38"/>
      <c r="CW26" s="36"/>
      <c r="CX26" s="37"/>
      <c r="CY26" s="38"/>
      <c r="CZ26" s="36"/>
      <c r="DA26" s="37"/>
      <c r="DB26" s="38"/>
      <c r="DC26" s="36"/>
      <c r="DD26" s="37"/>
      <c r="DE26" s="38"/>
      <c r="DF26" s="36"/>
      <c r="DG26" s="37"/>
      <c r="DH26" s="38"/>
      <c r="DI26" s="36"/>
      <c r="DJ26" s="37"/>
      <c r="DK26" s="38"/>
      <c r="DL26" s="36"/>
      <c r="DM26" s="37"/>
      <c r="DN26" s="38"/>
      <c r="DO26" s="36"/>
      <c r="DP26" s="37"/>
      <c r="DQ26" s="38"/>
      <c r="DR26" s="36"/>
      <c r="DS26" s="37"/>
      <c r="DT26" s="38"/>
      <c r="DU26" s="36"/>
      <c r="DV26" s="37"/>
      <c r="DW26" s="38"/>
      <c r="DX26" s="36"/>
      <c r="DY26" s="37"/>
      <c r="DZ26" s="38"/>
      <c r="EA26" s="36"/>
      <c r="EB26" s="37"/>
      <c r="EC26" s="38"/>
      <c r="ED26" s="36"/>
      <c r="EE26" s="37"/>
      <c r="EF26" s="38"/>
      <c r="EG26" s="36"/>
      <c r="EH26" s="37"/>
      <c r="EI26" s="38"/>
      <c r="EJ26" s="36"/>
      <c r="EK26" s="37"/>
      <c r="EL26" s="38"/>
      <c r="EM26" s="36"/>
      <c r="EN26" s="37"/>
      <c r="EO26" s="38"/>
      <c r="EP26" s="36"/>
      <c r="EQ26" s="37"/>
      <c r="ER26" s="38"/>
      <c r="ES26" s="36"/>
      <c r="ET26" s="37"/>
      <c r="EU26" s="38"/>
      <c r="EV26" s="36"/>
      <c r="EW26" s="37"/>
      <c r="EX26" s="38"/>
      <c r="EY26" s="36"/>
      <c r="EZ26" s="37"/>
      <c r="FA26" s="38"/>
      <c r="FB26" s="36"/>
      <c r="FC26" s="37"/>
      <c r="FD26" s="38"/>
    </row>
    <row r="27" spans="1:160" x14ac:dyDescent="0.25">
      <c r="A27" s="32" t="s">
        <v>5</v>
      </c>
      <c r="B27" s="33">
        <f t="shared" si="1"/>
        <v>1</v>
      </c>
      <c r="C27" s="34">
        <f t="shared" si="1"/>
        <v>2</v>
      </c>
      <c r="D27" s="35">
        <f t="shared" si="1"/>
        <v>0</v>
      </c>
      <c r="E27" s="36">
        <v>0</v>
      </c>
      <c r="F27" s="37"/>
      <c r="G27" s="38"/>
      <c r="H27" s="36">
        <v>1</v>
      </c>
      <c r="I27" s="37"/>
      <c r="J27" s="38"/>
      <c r="K27" s="36">
        <v>0</v>
      </c>
      <c r="L27" s="37"/>
      <c r="M27" s="38"/>
      <c r="N27" s="36">
        <v>0</v>
      </c>
      <c r="O27" s="37"/>
      <c r="P27" s="38"/>
      <c r="Q27" s="29">
        <f>IFERROR(VLOOKUP($A27,'[1]05'!$A$4:$BH$96,54,FALSE),0)</f>
        <v>0</v>
      </c>
      <c r="R27" s="37">
        <f>IFERROR(VLOOKUP($A27,'[1]05'!$A$4:$BH$96,55,FALSE),0)</f>
        <v>2</v>
      </c>
      <c r="S27" s="38">
        <f>IFERROR(VLOOKUP($A27,'[1]05'!$A$4:$BH$96,56,FALSE),0)</f>
        <v>0</v>
      </c>
      <c r="T27" s="29">
        <f>IFERROR(VLOOKUP($A27,'[1]06'!$A$4:$BK$96,54,FALSE),0)</f>
        <v>0</v>
      </c>
      <c r="U27" s="37">
        <f>IFERROR(VLOOKUP($A27,'[1]06'!$A$4:$BK$96,56,FALSE),0)</f>
        <v>0</v>
      </c>
      <c r="V27" s="38">
        <f>IFERROR(VLOOKUP($A27,'[1]06'!$A$4:$BK$96,58,FALSE),0)</f>
        <v>0</v>
      </c>
      <c r="W27" s="29">
        <f>IFERROR(VLOOKUP($A27,'[1]06'!$A$4:$BK$96,54,FALSE),0)</f>
        <v>0</v>
      </c>
      <c r="X27" s="37">
        <f>IFERROR(VLOOKUP($A27,'[1]06'!$A$4:$BK$96,56,FALSE),0)</f>
        <v>0</v>
      </c>
      <c r="Y27" s="38">
        <f>IFERROR(VLOOKUP($A27,'[1]06'!$A$4:$BK$96,58,FALSE),0)</f>
        <v>0</v>
      </c>
      <c r="Z27" s="36"/>
      <c r="AA27" s="37"/>
      <c r="AB27" s="38"/>
      <c r="AC27" s="36"/>
      <c r="AD27" s="37"/>
      <c r="AE27" s="38"/>
      <c r="AF27" s="36"/>
      <c r="AG27" s="37"/>
      <c r="AH27" s="38"/>
      <c r="AI27" s="36"/>
      <c r="AJ27" s="37"/>
      <c r="AK27" s="38"/>
      <c r="AL27" s="36"/>
      <c r="AM27" s="37"/>
      <c r="AN27" s="38"/>
      <c r="AO27" s="36"/>
      <c r="AP27" s="37"/>
      <c r="AQ27" s="38"/>
      <c r="AR27" s="36"/>
      <c r="AS27" s="37"/>
      <c r="AT27" s="38"/>
      <c r="AU27" s="36"/>
      <c r="AV27" s="37"/>
      <c r="AW27" s="38"/>
      <c r="AX27" s="36"/>
      <c r="AY27" s="37"/>
      <c r="AZ27" s="38"/>
      <c r="BA27" s="36"/>
      <c r="BB27" s="37"/>
      <c r="BC27" s="38"/>
      <c r="BD27" s="36"/>
      <c r="BE27" s="37"/>
      <c r="BF27" s="38"/>
      <c r="BG27" s="36"/>
      <c r="BH27" s="37"/>
      <c r="BI27" s="38"/>
      <c r="BJ27" s="36"/>
      <c r="BK27" s="37"/>
      <c r="BL27" s="38"/>
      <c r="BM27" s="36"/>
      <c r="BN27" s="37"/>
      <c r="BO27" s="38"/>
      <c r="BP27" s="36"/>
      <c r="BQ27" s="37"/>
      <c r="BR27" s="38"/>
      <c r="BS27" s="36"/>
      <c r="BT27" s="37"/>
      <c r="BU27" s="38"/>
      <c r="BV27" s="36"/>
      <c r="BW27" s="37"/>
      <c r="BX27" s="38"/>
      <c r="BY27" s="36"/>
      <c r="BZ27" s="37"/>
      <c r="CA27" s="38"/>
      <c r="CB27" s="36"/>
      <c r="CC27" s="37"/>
      <c r="CD27" s="38"/>
      <c r="CE27" s="36"/>
      <c r="CF27" s="37"/>
      <c r="CG27" s="38"/>
      <c r="CH27" s="36"/>
      <c r="CI27" s="37"/>
      <c r="CJ27" s="38"/>
      <c r="CK27" s="36"/>
      <c r="CL27" s="37"/>
      <c r="CM27" s="38"/>
      <c r="CN27" s="36"/>
      <c r="CO27" s="37"/>
      <c r="CP27" s="38"/>
      <c r="CQ27" s="36"/>
      <c r="CR27" s="37"/>
      <c r="CS27" s="38"/>
      <c r="CT27" s="36"/>
      <c r="CU27" s="37"/>
      <c r="CV27" s="38"/>
      <c r="CW27" s="36"/>
      <c r="CX27" s="37"/>
      <c r="CY27" s="38"/>
      <c r="CZ27" s="36"/>
      <c r="DA27" s="37"/>
      <c r="DB27" s="38"/>
      <c r="DC27" s="36"/>
      <c r="DD27" s="37"/>
      <c r="DE27" s="38"/>
      <c r="DF27" s="36"/>
      <c r="DG27" s="37"/>
      <c r="DH27" s="38"/>
      <c r="DI27" s="36"/>
      <c r="DJ27" s="37"/>
      <c r="DK27" s="38"/>
      <c r="DL27" s="36"/>
      <c r="DM27" s="37"/>
      <c r="DN27" s="38"/>
      <c r="DO27" s="36"/>
      <c r="DP27" s="37"/>
      <c r="DQ27" s="38"/>
      <c r="DR27" s="36"/>
      <c r="DS27" s="37"/>
      <c r="DT27" s="38"/>
      <c r="DU27" s="36"/>
      <c r="DV27" s="37"/>
      <c r="DW27" s="38"/>
      <c r="DX27" s="36"/>
      <c r="DY27" s="37"/>
      <c r="DZ27" s="38"/>
      <c r="EA27" s="36"/>
      <c r="EB27" s="37"/>
      <c r="EC27" s="38"/>
      <c r="ED27" s="36"/>
      <c r="EE27" s="37"/>
      <c r="EF27" s="38"/>
      <c r="EG27" s="36"/>
      <c r="EH27" s="37"/>
      <c r="EI27" s="38"/>
      <c r="EJ27" s="36"/>
      <c r="EK27" s="37"/>
      <c r="EL27" s="38"/>
      <c r="EM27" s="36"/>
      <c r="EN27" s="37"/>
      <c r="EO27" s="38"/>
      <c r="EP27" s="36"/>
      <c r="EQ27" s="37"/>
      <c r="ER27" s="38"/>
      <c r="ES27" s="36"/>
      <c r="ET27" s="37"/>
      <c r="EU27" s="38"/>
      <c r="EV27" s="36"/>
      <c r="EW27" s="37"/>
      <c r="EX27" s="38"/>
      <c r="EY27" s="36"/>
      <c r="EZ27" s="37"/>
      <c r="FA27" s="38"/>
      <c r="FB27" s="36"/>
      <c r="FC27" s="37"/>
      <c r="FD27" s="38"/>
    </row>
    <row r="28" spans="1:160" x14ac:dyDescent="0.25">
      <c r="A28" s="32" t="s">
        <v>33</v>
      </c>
      <c r="B28" s="33">
        <f t="shared" si="1"/>
        <v>1</v>
      </c>
      <c r="C28" s="34">
        <f t="shared" si="1"/>
        <v>0</v>
      </c>
      <c r="D28" s="35">
        <f t="shared" si="1"/>
        <v>0</v>
      </c>
      <c r="E28" s="36">
        <v>0</v>
      </c>
      <c r="F28" s="37"/>
      <c r="G28" s="38"/>
      <c r="H28" s="36">
        <v>0</v>
      </c>
      <c r="I28" s="37"/>
      <c r="J28" s="38"/>
      <c r="K28" s="36">
        <v>0</v>
      </c>
      <c r="L28" s="37"/>
      <c r="M28" s="38"/>
      <c r="N28" s="36">
        <v>0</v>
      </c>
      <c r="O28" s="37"/>
      <c r="P28" s="38"/>
      <c r="Q28" s="29">
        <f>IFERROR(VLOOKUP($A28,'[1]05'!$A$4:$BH$96,54,FALSE),0)</f>
        <v>1</v>
      </c>
      <c r="R28" s="37">
        <f>IFERROR(VLOOKUP($A28,'[1]05'!$A$4:$BH$96,55,FALSE),0)</f>
        <v>0</v>
      </c>
      <c r="S28" s="38">
        <f>IFERROR(VLOOKUP($A28,'[1]05'!$A$4:$BH$96,56,FALSE),0)</f>
        <v>0</v>
      </c>
      <c r="T28" s="29">
        <f>IFERROR(VLOOKUP($A28,'[1]06'!$A$4:$BK$96,54,FALSE),0)</f>
        <v>0</v>
      </c>
      <c r="U28" s="37">
        <f>IFERROR(VLOOKUP($A28,'[1]06'!$A$4:$BK$96,56,FALSE),0)</f>
        <v>0</v>
      </c>
      <c r="V28" s="38">
        <f>IFERROR(VLOOKUP($A28,'[1]06'!$A$4:$BK$96,58,FALSE),0)</f>
        <v>0</v>
      </c>
      <c r="W28" s="29">
        <f>IFERROR(VLOOKUP($A28,'[1]06'!$A$4:$BK$96,54,FALSE),0)</f>
        <v>0</v>
      </c>
      <c r="X28" s="37">
        <f>IFERROR(VLOOKUP($A28,'[1]06'!$A$4:$BK$96,56,FALSE),0)</f>
        <v>0</v>
      </c>
      <c r="Y28" s="38">
        <f>IFERROR(VLOOKUP($A28,'[1]06'!$A$4:$BK$96,58,FALSE),0)</f>
        <v>0</v>
      </c>
      <c r="Z28" s="36"/>
      <c r="AA28" s="37"/>
      <c r="AB28" s="38"/>
      <c r="AC28" s="36"/>
      <c r="AD28" s="37"/>
      <c r="AE28" s="38"/>
      <c r="AF28" s="36"/>
      <c r="AG28" s="37"/>
      <c r="AH28" s="38"/>
      <c r="AI28" s="36"/>
      <c r="AJ28" s="37"/>
      <c r="AK28" s="38"/>
      <c r="AL28" s="36"/>
      <c r="AM28" s="37"/>
      <c r="AN28" s="38"/>
      <c r="AO28" s="36"/>
      <c r="AP28" s="37"/>
      <c r="AQ28" s="38"/>
      <c r="AR28" s="36"/>
      <c r="AS28" s="37"/>
      <c r="AT28" s="38"/>
      <c r="AU28" s="36"/>
      <c r="AV28" s="37"/>
      <c r="AW28" s="38"/>
      <c r="AX28" s="36"/>
      <c r="AY28" s="37"/>
      <c r="AZ28" s="38"/>
      <c r="BA28" s="36"/>
      <c r="BB28" s="37"/>
      <c r="BC28" s="38"/>
      <c r="BD28" s="36"/>
      <c r="BE28" s="37"/>
      <c r="BF28" s="38"/>
      <c r="BG28" s="36"/>
      <c r="BH28" s="37"/>
      <c r="BI28" s="38"/>
      <c r="BJ28" s="36"/>
      <c r="BK28" s="37"/>
      <c r="BL28" s="38"/>
      <c r="BM28" s="36"/>
      <c r="BN28" s="37"/>
      <c r="BO28" s="38"/>
      <c r="BP28" s="36"/>
      <c r="BQ28" s="37"/>
      <c r="BR28" s="38"/>
      <c r="BS28" s="36"/>
      <c r="BT28" s="37"/>
      <c r="BU28" s="38"/>
      <c r="BV28" s="36"/>
      <c r="BW28" s="37"/>
      <c r="BX28" s="38"/>
      <c r="BY28" s="36"/>
      <c r="BZ28" s="37"/>
      <c r="CA28" s="38"/>
      <c r="CB28" s="36"/>
      <c r="CC28" s="37"/>
      <c r="CD28" s="38"/>
      <c r="CE28" s="36"/>
      <c r="CF28" s="37"/>
      <c r="CG28" s="38"/>
      <c r="CH28" s="36"/>
      <c r="CI28" s="37"/>
      <c r="CJ28" s="38"/>
      <c r="CK28" s="36"/>
      <c r="CL28" s="37"/>
      <c r="CM28" s="38"/>
      <c r="CN28" s="36"/>
      <c r="CO28" s="37"/>
      <c r="CP28" s="38"/>
      <c r="CQ28" s="36"/>
      <c r="CR28" s="37"/>
      <c r="CS28" s="38"/>
      <c r="CT28" s="36"/>
      <c r="CU28" s="37"/>
      <c r="CV28" s="38"/>
      <c r="CW28" s="36"/>
      <c r="CX28" s="37"/>
      <c r="CY28" s="38"/>
      <c r="CZ28" s="36"/>
      <c r="DA28" s="37"/>
      <c r="DB28" s="38"/>
      <c r="DC28" s="36"/>
      <c r="DD28" s="37"/>
      <c r="DE28" s="38"/>
      <c r="DF28" s="36"/>
      <c r="DG28" s="37"/>
      <c r="DH28" s="38"/>
      <c r="DI28" s="36"/>
      <c r="DJ28" s="37"/>
      <c r="DK28" s="38"/>
      <c r="DL28" s="36"/>
      <c r="DM28" s="37"/>
      <c r="DN28" s="38"/>
      <c r="DO28" s="36"/>
      <c r="DP28" s="37"/>
      <c r="DQ28" s="38"/>
      <c r="DR28" s="36"/>
      <c r="DS28" s="37"/>
      <c r="DT28" s="38"/>
      <c r="DU28" s="36"/>
      <c r="DV28" s="37"/>
      <c r="DW28" s="38"/>
      <c r="DX28" s="36"/>
      <c r="DY28" s="37"/>
      <c r="DZ28" s="38"/>
      <c r="EA28" s="36"/>
      <c r="EB28" s="37"/>
      <c r="EC28" s="38"/>
      <c r="ED28" s="36"/>
      <c r="EE28" s="37"/>
      <c r="EF28" s="38"/>
      <c r="EG28" s="36"/>
      <c r="EH28" s="37"/>
      <c r="EI28" s="38"/>
      <c r="EJ28" s="36"/>
      <c r="EK28" s="37"/>
      <c r="EL28" s="38"/>
      <c r="EM28" s="36"/>
      <c r="EN28" s="37"/>
      <c r="EO28" s="38"/>
      <c r="EP28" s="36"/>
      <c r="EQ28" s="37"/>
      <c r="ER28" s="38"/>
      <c r="ES28" s="36"/>
      <c r="ET28" s="37"/>
      <c r="EU28" s="38"/>
      <c r="EV28" s="36"/>
      <c r="EW28" s="37"/>
      <c r="EX28" s="38"/>
      <c r="EY28" s="36"/>
      <c r="EZ28" s="37"/>
      <c r="FA28" s="38"/>
      <c r="FB28" s="36"/>
      <c r="FC28" s="37"/>
      <c r="FD28" s="38"/>
    </row>
    <row r="29" spans="1:160" x14ac:dyDescent="0.25">
      <c r="A29" s="32" t="s">
        <v>12</v>
      </c>
      <c r="B29" s="33">
        <f t="shared" si="1"/>
        <v>4</v>
      </c>
      <c r="C29" s="34">
        <f t="shared" si="1"/>
        <v>1</v>
      </c>
      <c r="D29" s="35">
        <f t="shared" si="1"/>
        <v>0</v>
      </c>
      <c r="E29" s="36">
        <v>1</v>
      </c>
      <c r="F29" s="37"/>
      <c r="G29" s="38"/>
      <c r="H29" s="36">
        <v>0</v>
      </c>
      <c r="I29" s="37"/>
      <c r="J29" s="38"/>
      <c r="K29" s="36">
        <v>0</v>
      </c>
      <c r="L29" s="37"/>
      <c r="M29" s="38"/>
      <c r="N29" s="36">
        <v>0</v>
      </c>
      <c r="O29" s="37"/>
      <c r="P29" s="38"/>
      <c r="Q29" s="29">
        <f>IFERROR(VLOOKUP($A29,'[1]05'!$A$4:$BH$96,54,FALSE),0)</f>
        <v>3</v>
      </c>
      <c r="R29" s="37">
        <f>IFERROR(VLOOKUP($A29,'[1]05'!$A$4:$BH$96,55,FALSE),0)</f>
        <v>1</v>
      </c>
      <c r="S29" s="38">
        <f>IFERROR(VLOOKUP($A29,'[1]05'!$A$4:$BH$96,56,FALSE),0)</f>
        <v>0</v>
      </c>
      <c r="T29" s="29">
        <f>IFERROR(VLOOKUP($A29,'[1]06'!$A$4:$BK$96,54,FALSE),0)</f>
        <v>0</v>
      </c>
      <c r="U29" s="37">
        <f>IFERROR(VLOOKUP($A29,'[1]06'!$A$4:$BK$96,56,FALSE),0)</f>
        <v>0</v>
      </c>
      <c r="V29" s="38">
        <f>IFERROR(VLOOKUP($A29,'[1]06'!$A$4:$BK$96,58,FALSE),0)</f>
        <v>0</v>
      </c>
      <c r="W29" s="29">
        <f>IFERROR(VLOOKUP($A29,'[1]06'!$A$4:$BK$96,54,FALSE),0)</f>
        <v>0</v>
      </c>
      <c r="X29" s="37">
        <f>IFERROR(VLOOKUP($A29,'[1]06'!$A$4:$BK$96,56,FALSE),0)</f>
        <v>0</v>
      </c>
      <c r="Y29" s="38">
        <f>IFERROR(VLOOKUP($A29,'[1]06'!$A$4:$BK$96,58,FALSE),0)</f>
        <v>0</v>
      </c>
      <c r="Z29" s="36"/>
      <c r="AA29" s="37"/>
      <c r="AB29" s="38"/>
      <c r="AC29" s="36"/>
      <c r="AD29" s="37"/>
      <c r="AE29" s="38"/>
      <c r="AF29" s="36"/>
      <c r="AG29" s="37"/>
      <c r="AH29" s="38"/>
      <c r="AI29" s="36"/>
      <c r="AJ29" s="37"/>
      <c r="AK29" s="38"/>
      <c r="AL29" s="36"/>
      <c r="AM29" s="37"/>
      <c r="AN29" s="38"/>
      <c r="AO29" s="36"/>
      <c r="AP29" s="37"/>
      <c r="AQ29" s="38"/>
      <c r="AR29" s="36"/>
      <c r="AS29" s="37"/>
      <c r="AT29" s="38"/>
      <c r="AU29" s="36"/>
      <c r="AV29" s="37"/>
      <c r="AW29" s="38"/>
      <c r="AX29" s="36"/>
      <c r="AY29" s="37"/>
      <c r="AZ29" s="38"/>
      <c r="BA29" s="36"/>
      <c r="BB29" s="37"/>
      <c r="BC29" s="38"/>
      <c r="BD29" s="36"/>
      <c r="BE29" s="37"/>
      <c r="BF29" s="38"/>
      <c r="BG29" s="36"/>
      <c r="BH29" s="37"/>
      <c r="BI29" s="38"/>
      <c r="BJ29" s="36"/>
      <c r="BK29" s="37"/>
      <c r="BL29" s="38"/>
      <c r="BM29" s="36"/>
      <c r="BN29" s="37"/>
      <c r="BO29" s="38"/>
      <c r="BP29" s="36"/>
      <c r="BQ29" s="37"/>
      <c r="BR29" s="38"/>
      <c r="BS29" s="36"/>
      <c r="BT29" s="37"/>
      <c r="BU29" s="38"/>
      <c r="BV29" s="36"/>
      <c r="BW29" s="37"/>
      <c r="BX29" s="38"/>
      <c r="BY29" s="36"/>
      <c r="BZ29" s="37"/>
      <c r="CA29" s="38"/>
      <c r="CB29" s="36"/>
      <c r="CC29" s="37"/>
      <c r="CD29" s="38"/>
      <c r="CE29" s="36"/>
      <c r="CF29" s="37"/>
      <c r="CG29" s="38"/>
      <c r="CH29" s="36"/>
      <c r="CI29" s="37"/>
      <c r="CJ29" s="38"/>
      <c r="CK29" s="36"/>
      <c r="CL29" s="37"/>
      <c r="CM29" s="38"/>
      <c r="CN29" s="36"/>
      <c r="CO29" s="37"/>
      <c r="CP29" s="38"/>
      <c r="CQ29" s="36"/>
      <c r="CR29" s="37"/>
      <c r="CS29" s="38"/>
      <c r="CT29" s="36"/>
      <c r="CU29" s="37"/>
      <c r="CV29" s="38"/>
      <c r="CW29" s="36"/>
      <c r="CX29" s="37"/>
      <c r="CY29" s="38"/>
      <c r="CZ29" s="36"/>
      <c r="DA29" s="37"/>
      <c r="DB29" s="38"/>
      <c r="DC29" s="36"/>
      <c r="DD29" s="37"/>
      <c r="DE29" s="38"/>
      <c r="DF29" s="36"/>
      <c r="DG29" s="37"/>
      <c r="DH29" s="38"/>
      <c r="DI29" s="36"/>
      <c r="DJ29" s="37"/>
      <c r="DK29" s="38"/>
      <c r="DL29" s="36"/>
      <c r="DM29" s="37"/>
      <c r="DN29" s="38"/>
      <c r="DO29" s="36"/>
      <c r="DP29" s="37"/>
      <c r="DQ29" s="38"/>
      <c r="DR29" s="36"/>
      <c r="DS29" s="37"/>
      <c r="DT29" s="38"/>
      <c r="DU29" s="36"/>
      <c r="DV29" s="37"/>
      <c r="DW29" s="38"/>
      <c r="DX29" s="36"/>
      <c r="DY29" s="37"/>
      <c r="DZ29" s="38"/>
      <c r="EA29" s="36"/>
      <c r="EB29" s="37"/>
      <c r="EC29" s="38"/>
      <c r="ED29" s="36"/>
      <c r="EE29" s="37"/>
      <c r="EF29" s="38"/>
      <c r="EG29" s="36"/>
      <c r="EH29" s="37"/>
      <c r="EI29" s="38"/>
      <c r="EJ29" s="36"/>
      <c r="EK29" s="37"/>
      <c r="EL29" s="38"/>
      <c r="EM29" s="36"/>
      <c r="EN29" s="37"/>
      <c r="EO29" s="38"/>
      <c r="EP29" s="36"/>
      <c r="EQ29" s="37"/>
      <c r="ER29" s="38"/>
      <c r="ES29" s="36"/>
      <c r="ET29" s="37"/>
      <c r="EU29" s="38"/>
      <c r="EV29" s="36"/>
      <c r="EW29" s="37"/>
      <c r="EX29" s="38"/>
      <c r="EY29" s="36"/>
      <c r="EZ29" s="37"/>
      <c r="FA29" s="38"/>
      <c r="FB29" s="36"/>
      <c r="FC29" s="37"/>
      <c r="FD29" s="38"/>
    </row>
    <row r="30" spans="1:160" x14ac:dyDescent="0.25">
      <c r="A30" s="32" t="s">
        <v>71</v>
      </c>
      <c r="B30" s="33">
        <f t="shared" si="1"/>
        <v>1</v>
      </c>
      <c r="C30" s="34">
        <f t="shared" si="1"/>
        <v>0</v>
      </c>
      <c r="D30" s="35">
        <f t="shared" si="1"/>
        <v>0</v>
      </c>
      <c r="E30" s="36">
        <v>0</v>
      </c>
      <c r="F30" s="37"/>
      <c r="G30" s="38"/>
      <c r="H30" s="36">
        <v>0</v>
      </c>
      <c r="I30" s="37"/>
      <c r="J30" s="38"/>
      <c r="K30" s="36">
        <v>0</v>
      </c>
      <c r="L30" s="37"/>
      <c r="M30" s="38"/>
      <c r="N30" s="36">
        <v>1</v>
      </c>
      <c r="O30" s="37"/>
      <c r="P30" s="38"/>
      <c r="Q30" s="29">
        <f>IFERROR(VLOOKUP($A30,'[1]05'!$A$4:$BH$96,54,FALSE),0)</f>
        <v>0</v>
      </c>
      <c r="R30" s="37">
        <f>IFERROR(VLOOKUP($A30,'[1]05'!$A$4:$BH$96,55,FALSE),0)</f>
        <v>0</v>
      </c>
      <c r="S30" s="38">
        <f>IFERROR(VLOOKUP($A30,'[1]05'!$A$4:$BH$96,56,FALSE),0)</f>
        <v>0</v>
      </c>
      <c r="T30" s="29">
        <f>IFERROR(VLOOKUP($A30,'[1]06'!$A$4:$BK$96,54,FALSE),0)</f>
        <v>0</v>
      </c>
      <c r="U30" s="37">
        <f>IFERROR(VLOOKUP($A30,'[1]06'!$A$4:$BK$96,56,FALSE),0)</f>
        <v>0</v>
      </c>
      <c r="V30" s="38">
        <f>IFERROR(VLOOKUP($A30,'[1]06'!$A$4:$BK$96,58,FALSE),0)</f>
        <v>0</v>
      </c>
      <c r="W30" s="29">
        <f>IFERROR(VLOOKUP($A30,'[1]06'!$A$4:$BK$96,54,FALSE),0)</f>
        <v>0</v>
      </c>
      <c r="X30" s="37">
        <f>IFERROR(VLOOKUP($A30,'[1]06'!$A$4:$BK$96,56,FALSE),0)</f>
        <v>0</v>
      </c>
      <c r="Y30" s="38">
        <f>IFERROR(VLOOKUP($A30,'[1]06'!$A$4:$BK$96,58,FALSE),0)</f>
        <v>0</v>
      </c>
      <c r="Z30" s="36"/>
      <c r="AA30" s="37"/>
      <c r="AB30" s="38"/>
      <c r="AC30" s="36"/>
      <c r="AD30" s="37"/>
      <c r="AE30" s="38"/>
      <c r="AF30" s="36"/>
      <c r="AG30" s="37"/>
      <c r="AH30" s="38"/>
      <c r="AI30" s="36"/>
      <c r="AJ30" s="37"/>
      <c r="AK30" s="38"/>
      <c r="AL30" s="36"/>
      <c r="AM30" s="37"/>
      <c r="AN30" s="38"/>
      <c r="AO30" s="36"/>
      <c r="AP30" s="37"/>
      <c r="AQ30" s="38"/>
      <c r="AR30" s="36"/>
      <c r="AS30" s="37"/>
      <c r="AT30" s="38"/>
      <c r="AU30" s="36"/>
      <c r="AV30" s="37"/>
      <c r="AW30" s="38"/>
      <c r="AX30" s="36"/>
      <c r="AY30" s="37"/>
      <c r="AZ30" s="38"/>
      <c r="BA30" s="36"/>
      <c r="BB30" s="37"/>
      <c r="BC30" s="38"/>
      <c r="BD30" s="36"/>
      <c r="BE30" s="37"/>
      <c r="BF30" s="38"/>
      <c r="BG30" s="36"/>
      <c r="BH30" s="37"/>
      <c r="BI30" s="38"/>
      <c r="BJ30" s="36"/>
      <c r="BK30" s="37"/>
      <c r="BL30" s="38"/>
      <c r="BM30" s="36"/>
      <c r="BN30" s="37"/>
      <c r="BO30" s="38"/>
      <c r="BP30" s="36"/>
      <c r="BQ30" s="37"/>
      <c r="BR30" s="38"/>
      <c r="BS30" s="36"/>
      <c r="BT30" s="37"/>
      <c r="BU30" s="38"/>
      <c r="BV30" s="36"/>
      <c r="BW30" s="37"/>
      <c r="BX30" s="38"/>
      <c r="BY30" s="36"/>
      <c r="BZ30" s="37"/>
      <c r="CA30" s="38"/>
      <c r="CB30" s="36"/>
      <c r="CC30" s="37"/>
      <c r="CD30" s="38"/>
      <c r="CE30" s="36"/>
      <c r="CF30" s="37"/>
      <c r="CG30" s="38"/>
      <c r="CH30" s="36"/>
      <c r="CI30" s="37"/>
      <c r="CJ30" s="38"/>
      <c r="CK30" s="36"/>
      <c r="CL30" s="37"/>
      <c r="CM30" s="38"/>
      <c r="CN30" s="36"/>
      <c r="CO30" s="37"/>
      <c r="CP30" s="38"/>
      <c r="CQ30" s="36"/>
      <c r="CR30" s="37"/>
      <c r="CS30" s="38"/>
      <c r="CT30" s="36"/>
      <c r="CU30" s="37"/>
      <c r="CV30" s="38"/>
      <c r="CW30" s="36"/>
      <c r="CX30" s="37"/>
      <c r="CY30" s="38"/>
      <c r="CZ30" s="36"/>
      <c r="DA30" s="37"/>
      <c r="DB30" s="38"/>
      <c r="DC30" s="36"/>
      <c r="DD30" s="37"/>
      <c r="DE30" s="38"/>
      <c r="DF30" s="36"/>
      <c r="DG30" s="37"/>
      <c r="DH30" s="38"/>
      <c r="DI30" s="36"/>
      <c r="DJ30" s="37"/>
      <c r="DK30" s="38"/>
      <c r="DL30" s="36"/>
      <c r="DM30" s="37"/>
      <c r="DN30" s="38"/>
      <c r="DO30" s="36"/>
      <c r="DP30" s="37"/>
      <c r="DQ30" s="38"/>
      <c r="DR30" s="36"/>
      <c r="DS30" s="37"/>
      <c r="DT30" s="38"/>
      <c r="DU30" s="36"/>
      <c r="DV30" s="37"/>
      <c r="DW30" s="38"/>
      <c r="DX30" s="36"/>
      <c r="DY30" s="37"/>
      <c r="DZ30" s="38"/>
      <c r="EA30" s="36"/>
      <c r="EB30" s="37"/>
      <c r="EC30" s="38"/>
      <c r="ED30" s="36"/>
      <c r="EE30" s="37"/>
      <c r="EF30" s="38"/>
      <c r="EG30" s="36"/>
      <c r="EH30" s="37"/>
      <c r="EI30" s="38"/>
      <c r="EJ30" s="36"/>
      <c r="EK30" s="37"/>
      <c r="EL30" s="38"/>
      <c r="EM30" s="36"/>
      <c r="EN30" s="37"/>
      <c r="EO30" s="38"/>
      <c r="EP30" s="36"/>
      <c r="EQ30" s="37"/>
      <c r="ER30" s="38"/>
      <c r="ES30" s="36"/>
      <c r="ET30" s="37"/>
      <c r="EU30" s="38"/>
      <c r="EV30" s="36"/>
      <c r="EW30" s="37"/>
      <c r="EX30" s="38"/>
      <c r="EY30" s="36"/>
      <c r="EZ30" s="37"/>
      <c r="FA30" s="38"/>
      <c r="FB30" s="36"/>
      <c r="FC30" s="37"/>
      <c r="FD30" s="38"/>
    </row>
    <row r="31" spans="1:160" x14ac:dyDescent="0.25">
      <c r="A31" s="32" t="s">
        <v>72</v>
      </c>
      <c r="B31" s="33">
        <f t="shared" si="1"/>
        <v>4</v>
      </c>
      <c r="C31" s="34">
        <f t="shared" si="1"/>
        <v>0</v>
      </c>
      <c r="D31" s="35">
        <f t="shared" si="1"/>
        <v>0</v>
      </c>
      <c r="E31" s="36">
        <v>0</v>
      </c>
      <c r="F31" s="37"/>
      <c r="G31" s="38"/>
      <c r="H31" s="36">
        <v>1</v>
      </c>
      <c r="I31" s="37"/>
      <c r="J31" s="38"/>
      <c r="K31" s="36">
        <v>1</v>
      </c>
      <c r="L31" s="37"/>
      <c r="M31" s="38"/>
      <c r="N31" s="36">
        <v>2</v>
      </c>
      <c r="O31" s="37"/>
      <c r="P31" s="38"/>
      <c r="Q31" s="29">
        <f>IFERROR(VLOOKUP($A31,'[1]05'!$A$4:$BH$96,54,FALSE),0)</f>
        <v>0</v>
      </c>
      <c r="R31" s="37">
        <f>IFERROR(VLOOKUP($A31,'[1]05'!$A$4:$BH$96,55,FALSE),0)</f>
        <v>0</v>
      </c>
      <c r="S31" s="38">
        <f>IFERROR(VLOOKUP($A31,'[1]05'!$A$4:$BH$96,56,FALSE),0)</f>
        <v>0</v>
      </c>
      <c r="T31" s="29">
        <f>IFERROR(VLOOKUP($A31,'[1]06'!$A$4:$BK$96,54,FALSE),0)</f>
        <v>0</v>
      </c>
      <c r="U31" s="37">
        <f>IFERROR(VLOOKUP($A31,'[1]06'!$A$4:$BK$96,56,FALSE),0)</f>
        <v>0</v>
      </c>
      <c r="V31" s="38">
        <f>IFERROR(VLOOKUP($A31,'[1]06'!$A$4:$BK$96,58,FALSE),0)</f>
        <v>0</v>
      </c>
      <c r="W31" s="29">
        <f>IFERROR(VLOOKUP($A31,'[1]06'!$A$4:$BK$96,54,FALSE),0)</f>
        <v>0</v>
      </c>
      <c r="X31" s="37">
        <f>IFERROR(VLOOKUP($A31,'[1]06'!$A$4:$BK$96,56,FALSE),0)</f>
        <v>0</v>
      </c>
      <c r="Y31" s="38">
        <f>IFERROR(VLOOKUP($A31,'[1]06'!$A$4:$BK$96,58,FALSE),0)</f>
        <v>0</v>
      </c>
      <c r="Z31" s="36"/>
      <c r="AA31" s="37"/>
      <c r="AB31" s="38"/>
      <c r="AC31" s="36"/>
      <c r="AD31" s="37"/>
      <c r="AE31" s="38"/>
      <c r="AF31" s="36"/>
      <c r="AG31" s="37"/>
      <c r="AH31" s="38"/>
      <c r="AI31" s="36"/>
      <c r="AJ31" s="37"/>
      <c r="AK31" s="38"/>
      <c r="AL31" s="36"/>
      <c r="AM31" s="37"/>
      <c r="AN31" s="38"/>
      <c r="AO31" s="36"/>
      <c r="AP31" s="37"/>
      <c r="AQ31" s="38"/>
      <c r="AR31" s="36"/>
      <c r="AS31" s="37"/>
      <c r="AT31" s="38"/>
      <c r="AU31" s="36"/>
      <c r="AV31" s="37"/>
      <c r="AW31" s="38"/>
      <c r="AX31" s="36"/>
      <c r="AY31" s="37"/>
      <c r="AZ31" s="38"/>
      <c r="BA31" s="36"/>
      <c r="BB31" s="37"/>
      <c r="BC31" s="38"/>
      <c r="BD31" s="36"/>
      <c r="BE31" s="37"/>
      <c r="BF31" s="38"/>
      <c r="BG31" s="36"/>
      <c r="BH31" s="37"/>
      <c r="BI31" s="38"/>
      <c r="BJ31" s="36"/>
      <c r="BK31" s="37"/>
      <c r="BL31" s="38"/>
      <c r="BM31" s="36"/>
      <c r="BN31" s="37"/>
      <c r="BO31" s="38"/>
      <c r="BP31" s="36"/>
      <c r="BQ31" s="37"/>
      <c r="BR31" s="38"/>
      <c r="BS31" s="36"/>
      <c r="BT31" s="37"/>
      <c r="BU31" s="38"/>
      <c r="BV31" s="36"/>
      <c r="BW31" s="37"/>
      <c r="BX31" s="38"/>
      <c r="BY31" s="36"/>
      <c r="BZ31" s="37"/>
      <c r="CA31" s="38"/>
      <c r="CB31" s="36"/>
      <c r="CC31" s="37"/>
      <c r="CD31" s="38"/>
      <c r="CE31" s="36"/>
      <c r="CF31" s="37"/>
      <c r="CG31" s="38"/>
      <c r="CH31" s="36"/>
      <c r="CI31" s="37"/>
      <c r="CJ31" s="38"/>
      <c r="CK31" s="36"/>
      <c r="CL31" s="37"/>
      <c r="CM31" s="38"/>
      <c r="CN31" s="36"/>
      <c r="CO31" s="37"/>
      <c r="CP31" s="38"/>
      <c r="CQ31" s="36"/>
      <c r="CR31" s="37"/>
      <c r="CS31" s="38"/>
      <c r="CT31" s="36"/>
      <c r="CU31" s="37"/>
      <c r="CV31" s="38"/>
      <c r="CW31" s="36"/>
      <c r="CX31" s="37"/>
      <c r="CY31" s="38"/>
      <c r="CZ31" s="36"/>
      <c r="DA31" s="37"/>
      <c r="DB31" s="38"/>
      <c r="DC31" s="36"/>
      <c r="DD31" s="37"/>
      <c r="DE31" s="38"/>
      <c r="DF31" s="36"/>
      <c r="DG31" s="37"/>
      <c r="DH31" s="38"/>
      <c r="DI31" s="36"/>
      <c r="DJ31" s="37"/>
      <c r="DK31" s="38"/>
      <c r="DL31" s="36"/>
      <c r="DM31" s="37"/>
      <c r="DN31" s="38"/>
      <c r="DO31" s="36"/>
      <c r="DP31" s="37"/>
      <c r="DQ31" s="38"/>
      <c r="DR31" s="36"/>
      <c r="DS31" s="37"/>
      <c r="DT31" s="38"/>
      <c r="DU31" s="36"/>
      <c r="DV31" s="37"/>
      <c r="DW31" s="38"/>
      <c r="DX31" s="36"/>
      <c r="DY31" s="37"/>
      <c r="DZ31" s="38"/>
      <c r="EA31" s="36"/>
      <c r="EB31" s="37"/>
      <c r="EC31" s="38"/>
      <c r="ED31" s="36"/>
      <c r="EE31" s="37"/>
      <c r="EF31" s="38"/>
      <c r="EG31" s="36"/>
      <c r="EH31" s="37"/>
      <c r="EI31" s="38"/>
      <c r="EJ31" s="36"/>
      <c r="EK31" s="37"/>
      <c r="EL31" s="38"/>
      <c r="EM31" s="36"/>
      <c r="EN31" s="37"/>
      <c r="EO31" s="38"/>
      <c r="EP31" s="36"/>
      <c r="EQ31" s="37"/>
      <c r="ER31" s="38"/>
      <c r="ES31" s="36"/>
      <c r="ET31" s="37"/>
      <c r="EU31" s="38"/>
      <c r="EV31" s="36"/>
      <c r="EW31" s="37"/>
      <c r="EX31" s="38"/>
      <c r="EY31" s="36"/>
      <c r="EZ31" s="37"/>
      <c r="FA31" s="38"/>
      <c r="FB31" s="36"/>
      <c r="FC31" s="37"/>
      <c r="FD31" s="38"/>
    </row>
    <row r="32" spans="1:160" x14ac:dyDescent="0.25">
      <c r="A32" s="32" t="s">
        <v>18</v>
      </c>
      <c r="B32" s="33">
        <f t="shared" si="1"/>
        <v>2</v>
      </c>
      <c r="C32" s="34">
        <f t="shared" si="1"/>
        <v>1</v>
      </c>
      <c r="D32" s="35">
        <f t="shared" si="1"/>
        <v>0</v>
      </c>
      <c r="E32" s="36">
        <v>0</v>
      </c>
      <c r="F32" s="37"/>
      <c r="G32" s="38"/>
      <c r="H32" s="36">
        <v>0</v>
      </c>
      <c r="I32" s="37"/>
      <c r="J32" s="38"/>
      <c r="K32" s="36">
        <v>1</v>
      </c>
      <c r="L32" s="37"/>
      <c r="M32" s="38"/>
      <c r="N32" s="36">
        <v>0</v>
      </c>
      <c r="O32" s="37"/>
      <c r="P32" s="38"/>
      <c r="Q32" s="29">
        <f>IFERROR(VLOOKUP($A32,'[1]05'!$A$4:$BH$96,54,FALSE),0)</f>
        <v>1</v>
      </c>
      <c r="R32" s="37">
        <f>IFERROR(VLOOKUP($A32,'[1]05'!$A$4:$BH$96,55,FALSE),0)</f>
        <v>1</v>
      </c>
      <c r="S32" s="38">
        <f>IFERROR(VLOOKUP($A32,'[1]05'!$A$4:$BH$96,56,FALSE),0)</f>
        <v>0</v>
      </c>
      <c r="T32" s="29">
        <f>IFERROR(VLOOKUP($A32,'[1]06'!$A$4:$BK$96,54,FALSE),0)</f>
        <v>0</v>
      </c>
      <c r="U32" s="37">
        <f>IFERROR(VLOOKUP($A32,'[1]06'!$A$4:$BK$96,56,FALSE),0)</f>
        <v>0</v>
      </c>
      <c r="V32" s="38">
        <f>IFERROR(VLOOKUP($A32,'[1]06'!$A$4:$BK$96,58,FALSE),0)</f>
        <v>0</v>
      </c>
      <c r="W32" s="29">
        <f>IFERROR(VLOOKUP($A32,'[1]06'!$A$4:$BK$96,54,FALSE),0)</f>
        <v>0</v>
      </c>
      <c r="X32" s="37">
        <f>IFERROR(VLOOKUP($A32,'[1]06'!$A$4:$BK$96,56,FALSE),0)</f>
        <v>0</v>
      </c>
      <c r="Y32" s="38">
        <f>IFERROR(VLOOKUP($A32,'[1]06'!$A$4:$BK$96,58,FALSE),0)</f>
        <v>0</v>
      </c>
      <c r="Z32" s="36"/>
      <c r="AA32" s="37"/>
      <c r="AB32" s="38"/>
      <c r="AC32" s="36"/>
      <c r="AD32" s="37"/>
      <c r="AE32" s="38"/>
      <c r="AF32" s="36"/>
      <c r="AG32" s="37"/>
      <c r="AH32" s="38"/>
      <c r="AI32" s="36"/>
      <c r="AJ32" s="37"/>
      <c r="AK32" s="38"/>
      <c r="AL32" s="36"/>
      <c r="AM32" s="37"/>
      <c r="AN32" s="38"/>
      <c r="AO32" s="36"/>
      <c r="AP32" s="37"/>
      <c r="AQ32" s="38"/>
      <c r="AR32" s="36"/>
      <c r="AS32" s="37"/>
      <c r="AT32" s="38"/>
      <c r="AU32" s="36"/>
      <c r="AV32" s="37"/>
      <c r="AW32" s="38"/>
      <c r="AX32" s="36"/>
      <c r="AY32" s="37"/>
      <c r="AZ32" s="38"/>
      <c r="BA32" s="36"/>
      <c r="BB32" s="37"/>
      <c r="BC32" s="38"/>
      <c r="BD32" s="36"/>
      <c r="BE32" s="37"/>
      <c r="BF32" s="38"/>
      <c r="BG32" s="36"/>
      <c r="BH32" s="37"/>
      <c r="BI32" s="38"/>
      <c r="BJ32" s="36"/>
      <c r="BK32" s="37"/>
      <c r="BL32" s="38"/>
      <c r="BM32" s="36"/>
      <c r="BN32" s="37"/>
      <c r="BO32" s="38"/>
      <c r="BP32" s="36"/>
      <c r="BQ32" s="37"/>
      <c r="BR32" s="38"/>
      <c r="BS32" s="36"/>
      <c r="BT32" s="37"/>
      <c r="BU32" s="38"/>
      <c r="BV32" s="36"/>
      <c r="BW32" s="37"/>
      <c r="BX32" s="38"/>
      <c r="BY32" s="36"/>
      <c r="BZ32" s="37"/>
      <c r="CA32" s="38"/>
      <c r="CB32" s="36"/>
      <c r="CC32" s="37"/>
      <c r="CD32" s="38"/>
      <c r="CE32" s="36"/>
      <c r="CF32" s="37"/>
      <c r="CG32" s="38"/>
      <c r="CH32" s="36"/>
      <c r="CI32" s="37"/>
      <c r="CJ32" s="38"/>
      <c r="CK32" s="36"/>
      <c r="CL32" s="37"/>
      <c r="CM32" s="38"/>
      <c r="CN32" s="36"/>
      <c r="CO32" s="37"/>
      <c r="CP32" s="38"/>
      <c r="CQ32" s="36"/>
      <c r="CR32" s="37"/>
      <c r="CS32" s="38"/>
      <c r="CT32" s="36"/>
      <c r="CU32" s="37"/>
      <c r="CV32" s="38"/>
      <c r="CW32" s="36"/>
      <c r="CX32" s="37"/>
      <c r="CY32" s="38"/>
      <c r="CZ32" s="36"/>
      <c r="DA32" s="37"/>
      <c r="DB32" s="38"/>
      <c r="DC32" s="36"/>
      <c r="DD32" s="37"/>
      <c r="DE32" s="38"/>
      <c r="DF32" s="36"/>
      <c r="DG32" s="37"/>
      <c r="DH32" s="38"/>
      <c r="DI32" s="36"/>
      <c r="DJ32" s="37"/>
      <c r="DK32" s="38"/>
      <c r="DL32" s="36"/>
      <c r="DM32" s="37"/>
      <c r="DN32" s="38"/>
      <c r="DO32" s="36"/>
      <c r="DP32" s="37"/>
      <c r="DQ32" s="38"/>
      <c r="DR32" s="36"/>
      <c r="DS32" s="37"/>
      <c r="DT32" s="38"/>
      <c r="DU32" s="36"/>
      <c r="DV32" s="37"/>
      <c r="DW32" s="38"/>
      <c r="DX32" s="36"/>
      <c r="DY32" s="37"/>
      <c r="DZ32" s="38"/>
      <c r="EA32" s="36"/>
      <c r="EB32" s="37"/>
      <c r="EC32" s="38"/>
      <c r="ED32" s="36"/>
      <c r="EE32" s="37"/>
      <c r="EF32" s="38"/>
      <c r="EG32" s="36"/>
      <c r="EH32" s="37"/>
      <c r="EI32" s="38"/>
      <c r="EJ32" s="36"/>
      <c r="EK32" s="37"/>
      <c r="EL32" s="38"/>
      <c r="EM32" s="36"/>
      <c r="EN32" s="37"/>
      <c r="EO32" s="38"/>
      <c r="EP32" s="36"/>
      <c r="EQ32" s="37"/>
      <c r="ER32" s="38"/>
      <c r="ES32" s="36"/>
      <c r="ET32" s="37"/>
      <c r="EU32" s="38"/>
      <c r="EV32" s="36"/>
      <c r="EW32" s="37"/>
      <c r="EX32" s="38"/>
      <c r="EY32" s="36"/>
      <c r="EZ32" s="37"/>
      <c r="FA32" s="38"/>
      <c r="FB32" s="36"/>
      <c r="FC32" s="37"/>
      <c r="FD32" s="38"/>
    </row>
    <row r="33" spans="1:160" x14ac:dyDescent="0.25">
      <c r="A33" s="32" t="s">
        <v>4</v>
      </c>
      <c r="B33" s="33">
        <f t="shared" si="1"/>
        <v>0</v>
      </c>
      <c r="C33" s="34">
        <f t="shared" si="1"/>
        <v>0</v>
      </c>
      <c r="D33" s="35">
        <f t="shared" si="1"/>
        <v>0</v>
      </c>
      <c r="E33" s="36">
        <v>0</v>
      </c>
      <c r="F33" s="37"/>
      <c r="G33" s="38"/>
      <c r="H33" s="36">
        <v>0</v>
      </c>
      <c r="I33" s="37"/>
      <c r="J33" s="38"/>
      <c r="K33" s="36">
        <v>0</v>
      </c>
      <c r="L33" s="37"/>
      <c r="M33" s="38"/>
      <c r="N33" s="36">
        <v>0</v>
      </c>
      <c r="O33" s="37"/>
      <c r="P33" s="38"/>
      <c r="Q33" s="29">
        <f>IFERROR(VLOOKUP($A33,'[1]05'!$A$4:$BH$96,54,FALSE),0)</f>
        <v>0</v>
      </c>
      <c r="R33" s="37">
        <f>IFERROR(VLOOKUP($A33,'[1]05'!$A$4:$BH$96,55,FALSE),0)</f>
        <v>0</v>
      </c>
      <c r="S33" s="38">
        <f>IFERROR(VLOOKUP($A33,'[1]05'!$A$4:$BH$96,56,FALSE),0)</f>
        <v>0</v>
      </c>
      <c r="T33" s="29">
        <f>IFERROR(VLOOKUP($A33,'[1]06'!$A$4:$BK$96,54,FALSE),0)</f>
        <v>0</v>
      </c>
      <c r="U33" s="37">
        <f>IFERROR(VLOOKUP($A33,'[1]06'!$A$4:$BK$96,56,FALSE),0)</f>
        <v>0</v>
      </c>
      <c r="V33" s="38">
        <f>IFERROR(VLOOKUP($A33,'[1]06'!$A$4:$BK$96,58,FALSE),0)</f>
        <v>0</v>
      </c>
      <c r="W33" s="29">
        <f>IFERROR(VLOOKUP($A33,'[1]06'!$A$4:$BK$96,54,FALSE),0)</f>
        <v>0</v>
      </c>
      <c r="X33" s="37">
        <f>IFERROR(VLOOKUP($A33,'[1]06'!$A$4:$BK$96,56,FALSE),0)</f>
        <v>0</v>
      </c>
      <c r="Y33" s="38">
        <f>IFERROR(VLOOKUP($A33,'[1]06'!$A$4:$BK$96,58,FALSE),0)</f>
        <v>0</v>
      </c>
      <c r="Z33" s="36"/>
      <c r="AA33" s="37"/>
      <c r="AB33" s="38"/>
      <c r="AC33" s="36"/>
      <c r="AD33" s="37"/>
      <c r="AE33" s="38"/>
      <c r="AF33" s="36"/>
      <c r="AG33" s="37"/>
      <c r="AH33" s="38"/>
      <c r="AI33" s="36"/>
      <c r="AJ33" s="37"/>
      <c r="AK33" s="38"/>
      <c r="AL33" s="36"/>
      <c r="AM33" s="37"/>
      <c r="AN33" s="38"/>
      <c r="AO33" s="36"/>
      <c r="AP33" s="37"/>
      <c r="AQ33" s="38"/>
      <c r="AR33" s="36"/>
      <c r="AS33" s="37"/>
      <c r="AT33" s="38"/>
      <c r="AU33" s="36"/>
      <c r="AV33" s="37"/>
      <c r="AW33" s="38"/>
      <c r="AX33" s="36"/>
      <c r="AY33" s="37"/>
      <c r="AZ33" s="38"/>
      <c r="BA33" s="36"/>
      <c r="BB33" s="37"/>
      <c r="BC33" s="38"/>
      <c r="BD33" s="36"/>
      <c r="BE33" s="37"/>
      <c r="BF33" s="38"/>
      <c r="BG33" s="36"/>
      <c r="BH33" s="37"/>
      <c r="BI33" s="38"/>
      <c r="BJ33" s="36"/>
      <c r="BK33" s="37"/>
      <c r="BL33" s="38"/>
      <c r="BM33" s="36"/>
      <c r="BN33" s="37"/>
      <c r="BO33" s="38"/>
      <c r="BP33" s="36"/>
      <c r="BQ33" s="37"/>
      <c r="BR33" s="38"/>
      <c r="BS33" s="36"/>
      <c r="BT33" s="37"/>
      <c r="BU33" s="38"/>
      <c r="BV33" s="36"/>
      <c r="BW33" s="37"/>
      <c r="BX33" s="38"/>
      <c r="BY33" s="36"/>
      <c r="BZ33" s="37"/>
      <c r="CA33" s="38"/>
      <c r="CB33" s="36"/>
      <c r="CC33" s="37"/>
      <c r="CD33" s="38"/>
      <c r="CE33" s="36"/>
      <c r="CF33" s="37"/>
      <c r="CG33" s="38"/>
      <c r="CH33" s="36"/>
      <c r="CI33" s="37"/>
      <c r="CJ33" s="38"/>
      <c r="CK33" s="36"/>
      <c r="CL33" s="37"/>
      <c r="CM33" s="38"/>
      <c r="CN33" s="36"/>
      <c r="CO33" s="37"/>
      <c r="CP33" s="38"/>
      <c r="CQ33" s="36"/>
      <c r="CR33" s="37"/>
      <c r="CS33" s="38"/>
      <c r="CT33" s="36"/>
      <c r="CU33" s="37"/>
      <c r="CV33" s="38"/>
      <c r="CW33" s="36"/>
      <c r="CX33" s="37"/>
      <c r="CY33" s="38"/>
      <c r="CZ33" s="36"/>
      <c r="DA33" s="37"/>
      <c r="DB33" s="38"/>
      <c r="DC33" s="36"/>
      <c r="DD33" s="37"/>
      <c r="DE33" s="38"/>
      <c r="DF33" s="36"/>
      <c r="DG33" s="37"/>
      <c r="DH33" s="38"/>
      <c r="DI33" s="36"/>
      <c r="DJ33" s="37"/>
      <c r="DK33" s="38"/>
      <c r="DL33" s="36"/>
      <c r="DM33" s="37"/>
      <c r="DN33" s="38"/>
      <c r="DO33" s="36"/>
      <c r="DP33" s="37"/>
      <c r="DQ33" s="38"/>
      <c r="DR33" s="36"/>
      <c r="DS33" s="37"/>
      <c r="DT33" s="38"/>
      <c r="DU33" s="36"/>
      <c r="DV33" s="37"/>
      <c r="DW33" s="38"/>
      <c r="DX33" s="36"/>
      <c r="DY33" s="37"/>
      <c r="DZ33" s="38"/>
      <c r="EA33" s="36"/>
      <c r="EB33" s="37"/>
      <c r="EC33" s="38"/>
      <c r="ED33" s="36"/>
      <c r="EE33" s="37"/>
      <c r="EF33" s="38"/>
      <c r="EG33" s="36"/>
      <c r="EH33" s="37"/>
      <c r="EI33" s="38"/>
      <c r="EJ33" s="36"/>
      <c r="EK33" s="37"/>
      <c r="EL33" s="38"/>
      <c r="EM33" s="36"/>
      <c r="EN33" s="37"/>
      <c r="EO33" s="38"/>
      <c r="EP33" s="36"/>
      <c r="EQ33" s="37"/>
      <c r="ER33" s="38"/>
      <c r="ES33" s="36"/>
      <c r="ET33" s="37"/>
      <c r="EU33" s="38"/>
      <c r="EV33" s="36"/>
      <c r="EW33" s="37"/>
      <c r="EX33" s="38"/>
      <c r="EY33" s="36"/>
      <c r="EZ33" s="37"/>
      <c r="FA33" s="38"/>
      <c r="FB33" s="36"/>
      <c r="FC33" s="37"/>
      <c r="FD33" s="38"/>
    </row>
    <row r="34" spans="1:160" x14ac:dyDescent="0.25">
      <c r="A34" s="32" t="s">
        <v>73</v>
      </c>
      <c r="B34" s="33">
        <f t="shared" si="1"/>
        <v>1</v>
      </c>
      <c r="C34" s="34">
        <f t="shared" si="1"/>
        <v>0</v>
      </c>
      <c r="D34" s="35">
        <f t="shared" si="1"/>
        <v>0</v>
      </c>
      <c r="E34" s="36">
        <v>0</v>
      </c>
      <c r="F34" s="37"/>
      <c r="G34" s="38"/>
      <c r="H34" s="36">
        <v>0</v>
      </c>
      <c r="I34" s="37"/>
      <c r="J34" s="38"/>
      <c r="K34" s="36">
        <v>1</v>
      </c>
      <c r="L34" s="37"/>
      <c r="M34" s="38"/>
      <c r="N34" s="36">
        <v>0</v>
      </c>
      <c r="O34" s="37"/>
      <c r="P34" s="38"/>
      <c r="Q34" s="29">
        <f>IFERROR(VLOOKUP($A34,'[1]05'!$A$4:$BH$96,54,FALSE),0)</f>
        <v>0</v>
      </c>
      <c r="R34" s="37">
        <f>IFERROR(VLOOKUP($A34,'[1]05'!$A$4:$BH$96,55,FALSE),0)</f>
        <v>0</v>
      </c>
      <c r="S34" s="38">
        <f>IFERROR(VLOOKUP($A34,'[1]05'!$A$4:$BH$96,56,FALSE),0)</f>
        <v>0</v>
      </c>
      <c r="T34" s="29">
        <f>IFERROR(VLOOKUP($A34,'[1]06'!$A$4:$BK$96,54,FALSE),0)</f>
        <v>0</v>
      </c>
      <c r="U34" s="37">
        <f>IFERROR(VLOOKUP($A34,'[1]06'!$A$4:$BK$96,56,FALSE),0)</f>
        <v>0</v>
      </c>
      <c r="V34" s="38">
        <f>IFERROR(VLOOKUP($A34,'[1]06'!$A$4:$BK$96,58,FALSE),0)</f>
        <v>0</v>
      </c>
      <c r="W34" s="29">
        <f>IFERROR(VLOOKUP($A34,'[1]06'!$A$4:$BK$96,54,FALSE),0)</f>
        <v>0</v>
      </c>
      <c r="X34" s="37">
        <f>IFERROR(VLOOKUP($A34,'[1]06'!$A$4:$BK$96,56,FALSE),0)</f>
        <v>0</v>
      </c>
      <c r="Y34" s="38">
        <f>IFERROR(VLOOKUP($A34,'[1]06'!$A$4:$BK$96,58,FALSE),0)</f>
        <v>0</v>
      </c>
      <c r="Z34" s="36"/>
      <c r="AA34" s="37"/>
      <c r="AB34" s="38"/>
      <c r="AC34" s="36"/>
      <c r="AD34" s="37"/>
      <c r="AE34" s="38"/>
      <c r="AF34" s="36"/>
      <c r="AG34" s="37"/>
      <c r="AH34" s="38"/>
      <c r="AI34" s="36"/>
      <c r="AJ34" s="37"/>
      <c r="AK34" s="38"/>
      <c r="AL34" s="36"/>
      <c r="AM34" s="37"/>
      <c r="AN34" s="38"/>
      <c r="AO34" s="36"/>
      <c r="AP34" s="37"/>
      <c r="AQ34" s="38"/>
      <c r="AR34" s="36"/>
      <c r="AS34" s="37"/>
      <c r="AT34" s="38"/>
      <c r="AU34" s="36"/>
      <c r="AV34" s="37"/>
      <c r="AW34" s="38"/>
      <c r="AX34" s="36"/>
      <c r="AY34" s="37"/>
      <c r="AZ34" s="38"/>
      <c r="BA34" s="36"/>
      <c r="BB34" s="37"/>
      <c r="BC34" s="38"/>
      <c r="BD34" s="36"/>
      <c r="BE34" s="37"/>
      <c r="BF34" s="38"/>
      <c r="BG34" s="36"/>
      <c r="BH34" s="37"/>
      <c r="BI34" s="38"/>
      <c r="BJ34" s="36"/>
      <c r="BK34" s="37"/>
      <c r="BL34" s="38"/>
      <c r="BM34" s="36"/>
      <c r="BN34" s="37"/>
      <c r="BO34" s="38"/>
      <c r="BP34" s="36"/>
      <c r="BQ34" s="37"/>
      <c r="BR34" s="38"/>
      <c r="BS34" s="36"/>
      <c r="BT34" s="37"/>
      <c r="BU34" s="38"/>
      <c r="BV34" s="36"/>
      <c r="BW34" s="37"/>
      <c r="BX34" s="38"/>
      <c r="BY34" s="36"/>
      <c r="BZ34" s="37"/>
      <c r="CA34" s="38"/>
      <c r="CB34" s="36"/>
      <c r="CC34" s="37"/>
      <c r="CD34" s="38"/>
      <c r="CE34" s="36"/>
      <c r="CF34" s="37"/>
      <c r="CG34" s="38"/>
      <c r="CH34" s="36"/>
      <c r="CI34" s="37"/>
      <c r="CJ34" s="38"/>
      <c r="CK34" s="36"/>
      <c r="CL34" s="37"/>
      <c r="CM34" s="38"/>
      <c r="CN34" s="36"/>
      <c r="CO34" s="37"/>
      <c r="CP34" s="38"/>
      <c r="CQ34" s="36"/>
      <c r="CR34" s="37"/>
      <c r="CS34" s="38"/>
      <c r="CT34" s="36"/>
      <c r="CU34" s="37"/>
      <c r="CV34" s="38"/>
      <c r="CW34" s="36"/>
      <c r="CX34" s="37"/>
      <c r="CY34" s="38"/>
      <c r="CZ34" s="36"/>
      <c r="DA34" s="37"/>
      <c r="DB34" s="38"/>
      <c r="DC34" s="36"/>
      <c r="DD34" s="37"/>
      <c r="DE34" s="38"/>
      <c r="DF34" s="36"/>
      <c r="DG34" s="37"/>
      <c r="DH34" s="38"/>
      <c r="DI34" s="36"/>
      <c r="DJ34" s="37"/>
      <c r="DK34" s="38"/>
      <c r="DL34" s="36"/>
      <c r="DM34" s="37"/>
      <c r="DN34" s="38"/>
      <c r="DO34" s="36"/>
      <c r="DP34" s="37"/>
      <c r="DQ34" s="38"/>
      <c r="DR34" s="36"/>
      <c r="DS34" s="37"/>
      <c r="DT34" s="38"/>
      <c r="DU34" s="36"/>
      <c r="DV34" s="37"/>
      <c r="DW34" s="38"/>
      <c r="DX34" s="36"/>
      <c r="DY34" s="37"/>
      <c r="DZ34" s="38"/>
      <c r="EA34" s="36"/>
      <c r="EB34" s="37"/>
      <c r="EC34" s="38"/>
      <c r="ED34" s="36"/>
      <c r="EE34" s="37"/>
      <c r="EF34" s="38"/>
      <c r="EG34" s="36"/>
      <c r="EH34" s="37"/>
      <c r="EI34" s="38"/>
      <c r="EJ34" s="36"/>
      <c r="EK34" s="37"/>
      <c r="EL34" s="38"/>
      <c r="EM34" s="36"/>
      <c r="EN34" s="37"/>
      <c r="EO34" s="38"/>
      <c r="EP34" s="36"/>
      <c r="EQ34" s="37"/>
      <c r="ER34" s="38"/>
      <c r="ES34" s="36"/>
      <c r="ET34" s="37"/>
      <c r="EU34" s="38"/>
      <c r="EV34" s="36"/>
      <c r="EW34" s="37"/>
      <c r="EX34" s="38"/>
      <c r="EY34" s="36"/>
      <c r="EZ34" s="37"/>
      <c r="FA34" s="38"/>
      <c r="FB34" s="36"/>
      <c r="FC34" s="37"/>
      <c r="FD34" s="38"/>
    </row>
    <row r="35" spans="1:160" x14ac:dyDescent="0.25">
      <c r="A35" s="32" t="s">
        <v>74</v>
      </c>
      <c r="B35" s="33">
        <f t="shared" si="1"/>
        <v>0</v>
      </c>
      <c r="C35" s="34">
        <f t="shared" si="1"/>
        <v>0</v>
      </c>
      <c r="D35" s="35">
        <f t="shared" si="1"/>
        <v>0</v>
      </c>
      <c r="E35" s="36">
        <v>0</v>
      </c>
      <c r="F35" s="37"/>
      <c r="G35" s="38"/>
      <c r="H35" s="36">
        <v>0</v>
      </c>
      <c r="I35" s="37"/>
      <c r="J35" s="38"/>
      <c r="K35" s="36">
        <v>0</v>
      </c>
      <c r="L35" s="37"/>
      <c r="M35" s="38"/>
      <c r="N35" s="36">
        <v>0</v>
      </c>
      <c r="O35" s="37"/>
      <c r="P35" s="38"/>
      <c r="Q35" s="29">
        <f>IFERROR(VLOOKUP($A35,'[1]05'!$A$4:$BH$96,54,FALSE),0)</f>
        <v>0</v>
      </c>
      <c r="R35" s="37">
        <f>IFERROR(VLOOKUP($A35,'[1]05'!$A$4:$BH$96,55,FALSE),0)</f>
        <v>0</v>
      </c>
      <c r="S35" s="38">
        <f>IFERROR(VLOOKUP($A35,'[1]05'!$A$4:$BH$96,56,FALSE),0)</f>
        <v>0</v>
      </c>
      <c r="T35" s="29">
        <f>IFERROR(VLOOKUP($A35,'[1]06'!$A$4:$BK$96,54,FALSE),0)</f>
        <v>0</v>
      </c>
      <c r="U35" s="37">
        <f>IFERROR(VLOOKUP($A35,'[1]06'!$A$4:$BK$96,56,FALSE),0)</f>
        <v>0</v>
      </c>
      <c r="V35" s="38">
        <f>IFERROR(VLOOKUP($A35,'[1]06'!$A$4:$BK$96,58,FALSE),0)</f>
        <v>0</v>
      </c>
      <c r="W35" s="29">
        <f>IFERROR(VLOOKUP($A35,'[1]06'!$A$4:$BK$96,54,FALSE),0)</f>
        <v>0</v>
      </c>
      <c r="X35" s="37">
        <f>IFERROR(VLOOKUP($A35,'[1]06'!$A$4:$BK$96,56,FALSE),0)</f>
        <v>0</v>
      </c>
      <c r="Y35" s="38">
        <f>IFERROR(VLOOKUP($A35,'[1]06'!$A$4:$BK$96,58,FALSE),0)</f>
        <v>0</v>
      </c>
      <c r="Z35" s="36"/>
      <c r="AA35" s="37"/>
      <c r="AB35" s="38"/>
      <c r="AC35" s="36"/>
      <c r="AD35" s="37"/>
      <c r="AE35" s="38"/>
      <c r="AF35" s="36"/>
      <c r="AG35" s="37"/>
      <c r="AH35" s="38"/>
      <c r="AI35" s="36"/>
      <c r="AJ35" s="37"/>
      <c r="AK35" s="38"/>
      <c r="AL35" s="36"/>
      <c r="AM35" s="37"/>
      <c r="AN35" s="38"/>
      <c r="AO35" s="36"/>
      <c r="AP35" s="37"/>
      <c r="AQ35" s="38"/>
      <c r="AR35" s="36"/>
      <c r="AS35" s="37"/>
      <c r="AT35" s="38"/>
      <c r="AU35" s="36"/>
      <c r="AV35" s="37"/>
      <c r="AW35" s="38"/>
      <c r="AX35" s="36"/>
      <c r="AY35" s="37"/>
      <c r="AZ35" s="38"/>
      <c r="BA35" s="36"/>
      <c r="BB35" s="37"/>
      <c r="BC35" s="38"/>
      <c r="BD35" s="36"/>
      <c r="BE35" s="37"/>
      <c r="BF35" s="38"/>
      <c r="BG35" s="36"/>
      <c r="BH35" s="37"/>
      <c r="BI35" s="38"/>
      <c r="BJ35" s="36"/>
      <c r="BK35" s="37"/>
      <c r="BL35" s="38"/>
      <c r="BM35" s="36"/>
      <c r="BN35" s="37"/>
      <c r="BO35" s="38"/>
      <c r="BP35" s="36"/>
      <c r="BQ35" s="37"/>
      <c r="BR35" s="38"/>
      <c r="BS35" s="36"/>
      <c r="BT35" s="37"/>
      <c r="BU35" s="38"/>
      <c r="BV35" s="36"/>
      <c r="BW35" s="37"/>
      <c r="BX35" s="38"/>
      <c r="BY35" s="36"/>
      <c r="BZ35" s="37"/>
      <c r="CA35" s="38"/>
      <c r="CB35" s="36"/>
      <c r="CC35" s="37"/>
      <c r="CD35" s="38"/>
      <c r="CE35" s="36"/>
      <c r="CF35" s="37"/>
      <c r="CG35" s="38"/>
      <c r="CH35" s="36"/>
      <c r="CI35" s="37"/>
      <c r="CJ35" s="38"/>
      <c r="CK35" s="36"/>
      <c r="CL35" s="37"/>
      <c r="CM35" s="38"/>
      <c r="CN35" s="36"/>
      <c r="CO35" s="37"/>
      <c r="CP35" s="38"/>
      <c r="CQ35" s="36"/>
      <c r="CR35" s="37"/>
      <c r="CS35" s="38"/>
      <c r="CT35" s="36"/>
      <c r="CU35" s="37"/>
      <c r="CV35" s="38"/>
      <c r="CW35" s="36"/>
      <c r="CX35" s="37"/>
      <c r="CY35" s="38"/>
      <c r="CZ35" s="36"/>
      <c r="DA35" s="37"/>
      <c r="DB35" s="38"/>
      <c r="DC35" s="36"/>
      <c r="DD35" s="37"/>
      <c r="DE35" s="38"/>
      <c r="DF35" s="36"/>
      <c r="DG35" s="37"/>
      <c r="DH35" s="38"/>
      <c r="DI35" s="36"/>
      <c r="DJ35" s="37"/>
      <c r="DK35" s="38"/>
      <c r="DL35" s="36"/>
      <c r="DM35" s="37"/>
      <c r="DN35" s="38"/>
      <c r="DO35" s="36"/>
      <c r="DP35" s="37"/>
      <c r="DQ35" s="38"/>
      <c r="DR35" s="36"/>
      <c r="DS35" s="37"/>
      <c r="DT35" s="38"/>
      <c r="DU35" s="36"/>
      <c r="DV35" s="37"/>
      <c r="DW35" s="38"/>
      <c r="DX35" s="36"/>
      <c r="DY35" s="37"/>
      <c r="DZ35" s="38"/>
      <c r="EA35" s="36"/>
      <c r="EB35" s="37"/>
      <c r="EC35" s="38"/>
      <c r="ED35" s="36"/>
      <c r="EE35" s="37"/>
      <c r="EF35" s="38"/>
      <c r="EG35" s="36"/>
      <c r="EH35" s="37"/>
      <c r="EI35" s="38"/>
      <c r="EJ35" s="36"/>
      <c r="EK35" s="37"/>
      <c r="EL35" s="38"/>
      <c r="EM35" s="36"/>
      <c r="EN35" s="37"/>
      <c r="EO35" s="38"/>
      <c r="EP35" s="36"/>
      <c r="EQ35" s="37"/>
      <c r="ER35" s="38"/>
      <c r="ES35" s="36"/>
      <c r="ET35" s="37"/>
      <c r="EU35" s="38"/>
      <c r="EV35" s="36"/>
      <c r="EW35" s="37"/>
      <c r="EX35" s="38"/>
      <c r="EY35" s="36"/>
      <c r="EZ35" s="37"/>
      <c r="FA35" s="38"/>
      <c r="FB35" s="36"/>
      <c r="FC35" s="37"/>
      <c r="FD35" s="38"/>
    </row>
    <row r="36" spans="1:160" x14ac:dyDescent="0.25">
      <c r="A36" s="32" t="s">
        <v>75</v>
      </c>
      <c r="B36" s="33">
        <f t="shared" si="1"/>
        <v>3</v>
      </c>
      <c r="C36" s="34">
        <f t="shared" si="1"/>
        <v>0</v>
      </c>
      <c r="D36" s="35">
        <f t="shared" si="1"/>
        <v>0</v>
      </c>
      <c r="E36" s="36">
        <v>0</v>
      </c>
      <c r="F36" s="37"/>
      <c r="G36" s="38"/>
      <c r="H36" s="36">
        <v>0</v>
      </c>
      <c r="I36" s="37"/>
      <c r="J36" s="38"/>
      <c r="K36" s="36">
        <v>2</v>
      </c>
      <c r="L36" s="37"/>
      <c r="M36" s="38"/>
      <c r="N36" s="36">
        <v>1</v>
      </c>
      <c r="O36" s="37"/>
      <c r="P36" s="38"/>
      <c r="Q36" s="29">
        <f>IFERROR(VLOOKUP($A36,'[1]05'!$A$4:$BH$96,54,FALSE),0)</f>
        <v>0</v>
      </c>
      <c r="R36" s="37">
        <f>IFERROR(VLOOKUP($A36,'[1]05'!$A$4:$BH$96,55,FALSE),0)</f>
        <v>0</v>
      </c>
      <c r="S36" s="38">
        <f>IFERROR(VLOOKUP($A36,'[1]05'!$A$4:$BH$96,56,FALSE),0)</f>
        <v>0</v>
      </c>
      <c r="T36" s="29">
        <f>IFERROR(VLOOKUP($A36,'[1]06'!$A$4:$BK$96,54,FALSE),0)</f>
        <v>0</v>
      </c>
      <c r="U36" s="37">
        <f>IFERROR(VLOOKUP($A36,'[1]06'!$A$4:$BK$96,56,FALSE),0)</f>
        <v>0</v>
      </c>
      <c r="V36" s="38">
        <f>IFERROR(VLOOKUP($A36,'[1]06'!$A$4:$BK$96,58,FALSE),0)</f>
        <v>0</v>
      </c>
      <c r="W36" s="29">
        <f>IFERROR(VLOOKUP($A36,'[1]06'!$A$4:$BK$96,54,FALSE),0)</f>
        <v>0</v>
      </c>
      <c r="X36" s="37">
        <f>IFERROR(VLOOKUP($A36,'[1]06'!$A$4:$BK$96,56,FALSE),0)</f>
        <v>0</v>
      </c>
      <c r="Y36" s="38">
        <f>IFERROR(VLOOKUP($A36,'[1]06'!$A$4:$BK$96,58,FALSE),0)</f>
        <v>0</v>
      </c>
      <c r="Z36" s="36"/>
      <c r="AA36" s="37"/>
      <c r="AB36" s="38"/>
      <c r="AC36" s="36"/>
      <c r="AD36" s="37"/>
      <c r="AE36" s="38"/>
      <c r="AF36" s="36"/>
      <c r="AG36" s="37"/>
      <c r="AH36" s="38"/>
      <c r="AI36" s="36"/>
      <c r="AJ36" s="37"/>
      <c r="AK36" s="38"/>
      <c r="AL36" s="36"/>
      <c r="AM36" s="37"/>
      <c r="AN36" s="38"/>
      <c r="AO36" s="36"/>
      <c r="AP36" s="37"/>
      <c r="AQ36" s="38"/>
      <c r="AR36" s="36"/>
      <c r="AS36" s="37"/>
      <c r="AT36" s="38"/>
      <c r="AU36" s="36"/>
      <c r="AV36" s="37"/>
      <c r="AW36" s="38"/>
      <c r="AX36" s="36"/>
      <c r="AY36" s="37"/>
      <c r="AZ36" s="38"/>
      <c r="BA36" s="36"/>
      <c r="BB36" s="37"/>
      <c r="BC36" s="38"/>
      <c r="BD36" s="36"/>
      <c r="BE36" s="37"/>
      <c r="BF36" s="38"/>
      <c r="BG36" s="36"/>
      <c r="BH36" s="37"/>
      <c r="BI36" s="38"/>
      <c r="BJ36" s="36"/>
      <c r="BK36" s="37"/>
      <c r="BL36" s="38"/>
      <c r="BM36" s="36"/>
      <c r="BN36" s="37"/>
      <c r="BO36" s="38"/>
      <c r="BP36" s="36"/>
      <c r="BQ36" s="37"/>
      <c r="BR36" s="38"/>
      <c r="BS36" s="36"/>
      <c r="BT36" s="37"/>
      <c r="BU36" s="38"/>
      <c r="BV36" s="36"/>
      <c r="BW36" s="37"/>
      <c r="BX36" s="38"/>
      <c r="BY36" s="36"/>
      <c r="BZ36" s="37"/>
      <c r="CA36" s="38"/>
      <c r="CB36" s="36"/>
      <c r="CC36" s="37"/>
      <c r="CD36" s="38"/>
      <c r="CE36" s="36"/>
      <c r="CF36" s="37"/>
      <c r="CG36" s="38"/>
      <c r="CH36" s="36"/>
      <c r="CI36" s="37"/>
      <c r="CJ36" s="38"/>
      <c r="CK36" s="36"/>
      <c r="CL36" s="37"/>
      <c r="CM36" s="38"/>
      <c r="CN36" s="36"/>
      <c r="CO36" s="37"/>
      <c r="CP36" s="38"/>
      <c r="CQ36" s="36"/>
      <c r="CR36" s="37"/>
      <c r="CS36" s="38"/>
      <c r="CT36" s="36"/>
      <c r="CU36" s="37"/>
      <c r="CV36" s="38"/>
      <c r="CW36" s="36"/>
      <c r="CX36" s="37"/>
      <c r="CY36" s="38"/>
      <c r="CZ36" s="36"/>
      <c r="DA36" s="37"/>
      <c r="DB36" s="38"/>
      <c r="DC36" s="36"/>
      <c r="DD36" s="37"/>
      <c r="DE36" s="38"/>
      <c r="DF36" s="36"/>
      <c r="DG36" s="37"/>
      <c r="DH36" s="38"/>
      <c r="DI36" s="36"/>
      <c r="DJ36" s="37"/>
      <c r="DK36" s="38"/>
      <c r="DL36" s="36"/>
      <c r="DM36" s="37"/>
      <c r="DN36" s="38"/>
      <c r="DO36" s="36"/>
      <c r="DP36" s="37"/>
      <c r="DQ36" s="38"/>
      <c r="DR36" s="36"/>
      <c r="DS36" s="37"/>
      <c r="DT36" s="38"/>
      <c r="DU36" s="36"/>
      <c r="DV36" s="37"/>
      <c r="DW36" s="38"/>
      <c r="DX36" s="36"/>
      <c r="DY36" s="37"/>
      <c r="DZ36" s="38"/>
      <c r="EA36" s="36"/>
      <c r="EB36" s="37"/>
      <c r="EC36" s="38"/>
      <c r="ED36" s="36"/>
      <c r="EE36" s="37"/>
      <c r="EF36" s="38"/>
      <c r="EG36" s="36"/>
      <c r="EH36" s="37"/>
      <c r="EI36" s="38"/>
      <c r="EJ36" s="36"/>
      <c r="EK36" s="37"/>
      <c r="EL36" s="38"/>
      <c r="EM36" s="36"/>
      <c r="EN36" s="37"/>
      <c r="EO36" s="38"/>
      <c r="EP36" s="36"/>
      <c r="EQ36" s="37"/>
      <c r="ER36" s="38"/>
      <c r="ES36" s="36"/>
      <c r="ET36" s="37"/>
      <c r="EU36" s="38"/>
      <c r="EV36" s="36"/>
      <c r="EW36" s="37"/>
      <c r="EX36" s="38"/>
      <c r="EY36" s="36"/>
      <c r="EZ36" s="37"/>
      <c r="FA36" s="38"/>
      <c r="FB36" s="36"/>
      <c r="FC36" s="37"/>
      <c r="FD36" s="38"/>
    </row>
    <row r="37" spans="1:160" x14ac:dyDescent="0.25">
      <c r="A37" s="32" t="s">
        <v>13</v>
      </c>
      <c r="B37" s="33">
        <f t="shared" si="1"/>
        <v>3</v>
      </c>
      <c r="C37" s="34">
        <f t="shared" si="1"/>
        <v>0</v>
      </c>
      <c r="D37" s="35">
        <f t="shared" si="1"/>
        <v>1</v>
      </c>
      <c r="E37" s="36">
        <v>1</v>
      </c>
      <c r="F37" s="37"/>
      <c r="G37" s="38"/>
      <c r="H37" s="36">
        <v>1</v>
      </c>
      <c r="I37" s="37"/>
      <c r="J37" s="38"/>
      <c r="K37" s="36">
        <v>1</v>
      </c>
      <c r="L37" s="37"/>
      <c r="M37" s="38"/>
      <c r="N37" s="36">
        <v>0</v>
      </c>
      <c r="O37" s="37"/>
      <c r="P37" s="38"/>
      <c r="Q37" s="29">
        <f>IFERROR(VLOOKUP($A37,'[1]05'!$A$4:$BH$96,54,FALSE),0)</f>
        <v>0</v>
      </c>
      <c r="R37" s="37">
        <f>IFERROR(VLOOKUP($A37,'[1]05'!$A$4:$BH$96,55,FALSE),0)</f>
        <v>0</v>
      </c>
      <c r="S37" s="38">
        <f>IFERROR(VLOOKUP($A37,'[1]05'!$A$4:$BH$96,56,FALSE),0)</f>
        <v>1</v>
      </c>
      <c r="T37" s="29">
        <f>IFERROR(VLOOKUP($A37,'[1]06'!$A$4:$BK$96,54,FALSE),0)</f>
        <v>0</v>
      </c>
      <c r="U37" s="37">
        <f>IFERROR(VLOOKUP($A37,'[1]06'!$A$4:$BK$96,56,FALSE),0)</f>
        <v>0</v>
      </c>
      <c r="V37" s="38">
        <f>IFERROR(VLOOKUP($A37,'[1]06'!$A$4:$BK$96,58,FALSE),0)</f>
        <v>0</v>
      </c>
      <c r="W37" s="29">
        <f>IFERROR(VLOOKUP($A37,'[1]06'!$A$4:$BK$96,54,FALSE),0)</f>
        <v>0</v>
      </c>
      <c r="X37" s="37">
        <f>IFERROR(VLOOKUP($A37,'[1]06'!$A$4:$BK$96,56,FALSE),0)</f>
        <v>0</v>
      </c>
      <c r="Y37" s="38">
        <f>IFERROR(VLOOKUP($A37,'[1]06'!$A$4:$BK$96,58,FALSE),0)</f>
        <v>0</v>
      </c>
      <c r="Z37" s="36"/>
      <c r="AA37" s="37"/>
      <c r="AB37" s="38"/>
      <c r="AC37" s="36"/>
      <c r="AD37" s="37"/>
      <c r="AE37" s="38"/>
      <c r="AF37" s="36"/>
      <c r="AG37" s="37"/>
      <c r="AH37" s="38"/>
      <c r="AI37" s="36"/>
      <c r="AJ37" s="37"/>
      <c r="AK37" s="38"/>
      <c r="AL37" s="36"/>
      <c r="AM37" s="37"/>
      <c r="AN37" s="38"/>
      <c r="AO37" s="36"/>
      <c r="AP37" s="37"/>
      <c r="AQ37" s="38"/>
      <c r="AR37" s="36"/>
      <c r="AS37" s="37"/>
      <c r="AT37" s="38"/>
      <c r="AU37" s="36"/>
      <c r="AV37" s="37"/>
      <c r="AW37" s="38"/>
      <c r="AX37" s="36"/>
      <c r="AY37" s="37"/>
      <c r="AZ37" s="38"/>
      <c r="BA37" s="36"/>
      <c r="BB37" s="37"/>
      <c r="BC37" s="38"/>
      <c r="BD37" s="36"/>
      <c r="BE37" s="37"/>
      <c r="BF37" s="38"/>
      <c r="BG37" s="36"/>
      <c r="BH37" s="37"/>
      <c r="BI37" s="38"/>
      <c r="BJ37" s="36"/>
      <c r="BK37" s="37"/>
      <c r="BL37" s="38"/>
      <c r="BM37" s="36"/>
      <c r="BN37" s="37"/>
      <c r="BO37" s="38"/>
      <c r="BP37" s="36"/>
      <c r="BQ37" s="37"/>
      <c r="BR37" s="38"/>
      <c r="BS37" s="36"/>
      <c r="BT37" s="37"/>
      <c r="BU37" s="38"/>
      <c r="BV37" s="36"/>
      <c r="BW37" s="37"/>
      <c r="BX37" s="38"/>
      <c r="BY37" s="36"/>
      <c r="BZ37" s="37"/>
      <c r="CA37" s="38"/>
      <c r="CB37" s="36"/>
      <c r="CC37" s="37"/>
      <c r="CD37" s="38"/>
      <c r="CE37" s="36"/>
      <c r="CF37" s="37"/>
      <c r="CG37" s="38"/>
      <c r="CH37" s="36"/>
      <c r="CI37" s="37"/>
      <c r="CJ37" s="38"/>
      <c r="CK37" s="36"/>
      <c r="CL37" s="37"/>
      <c r="CM37" s="38"/>
      <c r="CN37" s="36"/>
      <c r="CO37" s="37"/>
      <c r="CP37" s="38"/>
      <c r="CQ37" s="36"/>
      <c r="CR37" s="37"/>
      <c r="CS37" s="38"/>
      <c r="CT37" s="36"/>
      <c r="CU37" s="37"/>
      <c r="CV37" s="38"/>
      <c r="CW37" s="36"/>
      <c r="CX37" s="37"/>
      <c r="CY37" s="38"/>
      <c r="CZ37" s="36"/>
      <c r="DA37" s="37"/>
      <c r="DB37" s="38"/>
      <c r="DC37" s="36"/>
      <c r="DD37" s="37"/>
      <c r="DE37" s="38"/>
      <c r="DF37" s="36"/>
      <c r="DG37" s="37"/>
      <c r="DH37" s="38"/>
      <c r="DI37" s="36"/>
      <c r="DJ37" s="37"/>
      <c r="DK37" s="38"/>
      <c r="DL37" s="36"/>
      <c r="DM37" s="37"/>
      <c r="DN37" s="38"/>
      <c r="DO37" s="36"/>
      <c r="DP37" s="37"/>
      <c r="DQ37" s="38"/>
      <c r="DR37" s="36"/>
      <c r="DS37" s="37"/>
      <c r="DT37" s="38"/>
      <c r="DU37" s="36"/>
      <c r="DV37" s="37"/>
      <c r="DW37" s="38"/>
      <c r="DX37" s="36"/>
      <c r="DY37" s="37"/>
      <c r="DZ37" s="38"/>
      <c r="EA37" s="36"/>
      <c r="EB37" s="37"/>
      <c r="EC37" s="38"/>
      <c r="ED37" s="36"/>
      <c r="EE37" s="37"/>
      <c r="EF37" s="38"/>
      <c r="EG37" s="36"/>
      <c r="EH37" s="37"/>
      <c r="EI37" s="38"/>
      <c r="EJ37" s="36"/>
      <c r="EK37" s="37"/>
      <c r="EL37" s="38"/>
      <c r="EM37" s="36"/>
      <c r="EN37" s="37"/>
      <c r="EO37" s="38"/>
      <c r="EP37" s="36"/>
      <c r="EQ37" s="37"/>
      <c r="ER37" s="38"/>
      <c r="ES37" s="36"/>
      <c r="ET37" s="37"/>
      <c r="EU37" s="38"/>
      <c r="EV37" s="36"/>
      <c r="EW37" s="37"/>
      <c r="EX37" s="38"/>
      <c r="EY37" s="36"/>
      <c r="EZ37" s="37"/>
      <c r="FA37" s="38"/>
      <c r="FB37" s="36"/>
      <c r="FC37" s="37"/>
      <c r="FD37" s="38"/>
    </row>
    <row r="38" spans="1:160" x14ac:dyDescent="0.25">
      <c r="A38" s="32" t="s">
        <v>29</v>
      </c>
      <c r="B38" s="33">
        <f t="shared" si="1"/>
        <v>7</v>
      </c>
      <c r="C38" s="34">
        <f t="shared" si="1"/>
        <v>1</v>
      </c>
      <c r="D38" s="35">
        <f t="shared" si="1"/>
        <v>1</v>
      </c>
      <c r="E38" s="36">
        <v>1</v>
      </c>
      <c r="F38" s="37"/>
      <c r="G38" s="38"/>
      <c r="H38" s="36">
        <v>2</v>
      </c>
      <c r="I38" s="37"/>
      <c r="J38" s="38"/>
      <c r="K38" s="36">
        <v>0</v>
      </c>
      <c r="L38" s="37"/>
      <c r="M38" s="38"/>
      <c r="N38" s="36">
        <v>1</v>
      </c>
      <c r="O38" s="37"/>
      <c r="P38" s="38"/>
      <c r="Q38" s="29">
        <f>IFERROR(VLOOKUP($A38,'[1]05'!$A$4:$BH$96,54,FALSE),0)</f>
        <v>3</v>
      </c>
      <c r="R38" s="37">
        <f>IFERROR(VLOOKUP($A38,'[1]05'!$A$4:$BH$96,55,FALSE),0)</f>
        <v>1</v>
      </c>
      <c r="S38" s="38">
        <f>IFERROR(VLOOKUP($A38,'[1]05'!$A$4:$BH$96,56,FALSE),0)</f>
        <v>1</v>
      </c>
      <c r="T38" s="29">
        <f>IFERROR(VLOOKUP($A38,'[1]06'!$A$4:$BK$96,54,FALSE),0)</f>
        <v>0</v>
      </c>
      <c r="U38" s="37">
        <f>IFERROR(VLOOKUP($A38,'[1]06'!$A$4:$BK$96,56,FALSE),0)</f>
        <v>0</v>
      </c>
      <c r="V38" s="38">
        <f>IFERROR(VLOOKUP($A38,'[1]06'!$A$4:$BK$96,58,FALSE),0)</f>
        <v>0</v>
      </c>
      <c r="W38" s="29">
        <f>IFERROR(VLOOKUP($A38,'[1]06'!$A$4:$BK$96,54,FALSE),0)</f>
        <v>0</v>
      </c>
      <c r="X38" s="37">
        <f>IFERROR(VLOOKUP($A38,'[1]06'!$A$4:$BK$96,56,FALSE),0)</f>
        <v>0</v>
      </c>
      <c r="Y38" s="38">
        <f>IFERROR(VLOOKUP($A38,'[1]06'!$A$4:$BK$96,58,FALSE),0)</f>
        <v>0</v>
      </c>
      <c r="Z38" s="36"/>
      <c r="AA38" s="37"/>
      <c r="AB38" s="38"/>
      <c r="AC38" s="36"/>
      <c r="AD38" s="37"/>
      <c r="AE38" s="38"/>
      <c r="AF38" s="36"/>
      <c r="AG38" s="37"/>
      <c r="AH38" s="38"/>
      <c r="AI38" s="36"/>
      <c r="AJ38" s="37"/>
      <c r="AK38" s="38"/>
      <c r="AL38" s="36"/>
      <c r="AM38" s="37"/>
      <c r="AN38" s="38"/>
      <c r="AO38" s="36"/>
      <c r="AP38" s="37"/>
      <c r="AQ38" s="38"/>
      <c r="AR38" s="36"/>
      <c r="AS38" s="37"/>
      <c r="AT38" s="38"/>
      <c r="AU38" s="36"/>
      <c r="AV38" s="37"/>
      <c r="AW38" s="38"/>
      <c r="AX38" s="36"/>
      <c r="AY38" s="37"/>
      <c r="AZ38" s="38"/>
      <c r="BA38" s="36"/>
      <c r="BB38" s="37"/>
      <c r="BC38" s="38"/>
      <c r="BD38" s="36"/>
      <c r="BE38" s="37"/>
      <c r="BF38" s="38"/>
      <c r="BG38" s="36"/>
      <c r="BH38" s="37"/>
      <c r="BI38" s="38"/>
      <c r="BJ38" s="36"/>
      <c r="BK38" s="37"/>
      <c r="BL38" s="38"/>
      <c r="BM38" s="36"/>
      <c r="BN38" s="37"/>
      <c r="BO38" s="38"/>
      <c r="BP38" s="36"/>
      <c r="BQ38" s="37"/>
      <c r="BR38" s="38"/>
      <c r="BS38" s="36"/>
      <c r="BT38" s="37"/>
      <c r="BU38" s="38"/>
      <c r="BV38" s="36"/>
      <c r="BW38" s="37"/>
      <c r="BX38" s="38"/>
      <c r="BY38" s="36"/>
      <c r="BZ38" s="37"/>
      <c r="CA38" s="38"/>
      <c r="CB38" s="36"/>
      <c r="CC38" s="37"/>
      <c r="CD38" s="38"/>
      <c r="CE38" s="36"/>
      <c r="CF38" s="37"/>
      <c r="CG38" s="38"/>
      <c r="CH38" s="36"/>
      <c r="CI38" s="37"/>
      <c r="CJ38" s="38"/>
      <c r="CK38" s="36"/>
      <c r="CL38" s="37"/>
      <c r="CM38" s="38"/>
      <c r="CN38" s="36"/>
      <c r="CO38" s="37"/>
      <c r="CP38" s="38"/>
      <c r="CQ38" s="36"/>
      <c r="CR38" s="37"/>
      <c r="CS38" s="38"/>
      <c r="CT38" s="36"/>
      <c r="CU38" s="37"/>
      <c r="CV38" s="38"/>
      <c r="CW38" s="36"/>
      <c r="CX38" s="37"/>
      <c r="CY38" s="38"/>
      <c r="CZ38" s="36"/>
      <c r="DA38" s="37"/>
      <c r="DB38" s="38"/>
      <c r="DC38" s="36"/>
      <c r="DD38" s="37"/>
      <c r="DE38" s="38"/>
      <c r="DF38" s="36"/>
      <c r="DG38" s="37"/>
      <c r="DH38" s="38"/>
      <c r="DI38" s="36"/>
      <c r="DJ38" s="37"/>
      <c r="DK38" s="38"/>
      <c r="DL38" s="36"/>
      <c r="DM38" s="37"/>
      <c r="DN38" s="38"/>
      <c r="DO38" s="36"/>
      <c r="DP38" s="37"/>
      <c r="DQ38" s="38"/>
      <c r="DR38" s="36"/>
      <c r="DS38" s="37"/>
      <c r="DT38" s="38"/>
      <c r="DU38" s="36"/>
      <c r="DV38" s="37"/>
      <c r="DW38" s="38"/>
      <c r="DX38" s="36"/>
      <c r="DY38" s="37"/>
      <c r="DZ38" s="38"/>
      <c r="EA38" s="36"/>
      <c r="EB38" s="37"/>
      <c r="EC38" s="38"/>
      <c r="ED38" s="36"/>
      <c r="EE38" s="37"/>
      <c r="EF38" s="38"/>
      <c r="EG38" s="36"/>
      <c r="EH38" s="37"/>
      <c r="EI38" s="38"/>
      <c r="EJ38" s="36"/>
      <c r="EK38" s="37"/>
      <c r="EL38" s="38"/>
      <c r="EM38" s="36"/>
      <c r="EN38" s="37"/>
      <c r="EO38" s="38"/>
      <c r="EP38" s="36"/>
      <c r="EQ38" s="37"/>
      <c r="ER38" s="38"/>
      <c r="ES38" s="36"/>
      <c r="ET38" s="37"/>
      <c r="EU38" s="38"/>
      <c r="EV38" s="36"/>
      <c r="EW38" s="37"/>
      <c r="EX38" s="38"/>
      <c r="EY38" s="36"/>
      <c r="EZ38" s="37"/>
      <c r="FA38" s="38"/>
      <c r="FB38" s="36"/>
      <c r="FC38" s="37"/>
      <c r="FD38" s="38"/>
    </row>
    <row r="39" spans="1:160" x14ac:dyDescent="0.25">
      <c r="A39" s="32" t="s">
        <v>39</v>
      </c>
      <c r="B39" s="33">
        <f t="shared" si="1"/>
        <v>1</v>
      </c>
      <c r="C39" s="34">
        <f t="shared" si="1"/>
        <v>0</v>
      </c>
      <c r="D39" s="35">
        <f t="shared" si="1"/>
        <v>1</v>
      </c>
      <c r="E39" s="36">
        <v>0</v>
      </c>
      <c r="F39" s="37"/>
      <c r="G39" s="38"/>
      <c r="H39" s="36">
        <v>0</v>
      </c>
      <c r="I39" s="37"/>
      <c r="J39" s="38"/>
      <c r="K39" s="36">
        <v>0</v>
      </c>
      <c r="L39" s="37"/>
      <c r="M39" s="38"/>
      <c r="N39" s="36">
        <v>1</v>
      </c>
      <c r="O39" s="37"/>
      <c r="P39" s="38"/>
      <c r="Q39" s="29">
        <f>IFERROR(VLOOKUP($A39,'[1]05'!$A$4:$BH$96,54,FALSE),0)</f>
        <v>0</v>
      </c>
      <c r="R39" s="37">
        <f>IFERROR(VLOOKUP($A39,'[1]05'!$A$4:$BH$96,55,FALSE),0)</f>
        <v>0</v>
      </c>
      <c r="S39" s="38">
        <f>IFERROR(VLOOKUP($A39,'[1]05'!$A$4:$BH$96,56,FALSE),0)</f>
        <v>1</v>
      </c>
      <c r="T39" s="29">
        <f>IFERROR(VLOOKUP($A39,'[1]06'!$A$4:$BK$96,54,FALSE),0)</f>
        <v>0</v>
      </c>
      <c r="U39" s="37">
        <f>IFERROR(VLOOKUP($A39,'[1]06'!$A$4:$BK$96,56,FALSE),0)</f>
        <v>0</v>
      </c>
      <c r="V39" s="38">
        <f>IFERROR(VLOOKUP($A39,'[1]06'!$A$4:$BK$96,58,FALSE),0)</f>
        <v>0</v>
      </c>
      <c r="W39" s="29">
        <f>IFERROR(VLOOKUP($A39,'[1]06'!$A$4:$BK$96,54,FALSE),0)</f>
        <v>0</v>
      </c>
      <c r="X39" s="37">
        <f>IFERROR(VLOOKUP($A39,'[1]06'!$A$4:$BK$96,56,FALSE),0)</f>
        <v>0</v>
      </c>
      <c r="Y39" s="38">
        <f>IFERROR(VLOOKUP($A39,'[1]06'!$A$4:$BK$96,58,FALSE),0)</f>
        <v>0</v>
      </c>
      <c r="Z39" s="36"/>
      <c r="AA39" s="37"/>
      <c r="AB39" s="38"/>
      <c r="AC39" s="36"/>
      <c r="AD39" s="37"/>
      <c r="AE39" s="38"/>
      <c r="AF39" s="36"/>
      <c r="AG39" s="37"/>
      <c r="AH39" s="38"/>
      <c r="AI39" s="36"/>
      <c r="AJ39" s="37"/>
      <c r="AK39" s="38"/>
      <c r="AL39" s="36"/>
      <c r="AM39" s="37"/>
      <c r="AN39" s="38"/>
      <c r="AO39" s="36"/>
      <c r="AP39" s="37"/>
      <c r="AQ39" s="38"/>
      <c r="AR39" s="36"/>
      <c r="AS39" s="37"/>
      <c r="AT39" s="38"/>
      <c r="AU39" s="36"/>
      <c r="AV39" s="37"/>
      <c r="AW39" s="38"/>
      <c r="AX39" s="36"/>
      <c r="AY39" s="37"/>
      <c r="AZ39" s="38"/>
      <c r="BA39" s="36"/>
      <c r="BB39" s="37"/>
      <c r="BC39" s="38"/>
      <c r="BD39" s="36"/>
      <c r="BE39" s="37"/>
      <c r="BF39" s="38"/>
      <c r="BG39" s="36"/>
      <c r="BH39" s="37"/>
      <c r="BI39" s="38"/>
      <c r="BJ39" s="36"/>
      <c r="BK39" s="37"/>
      <c r="BL39" s="38"/>
      <c r="BM39" s="36"/>
      <c r="BN39" s="37"/>
      <c r="BO39" s="38"/>
      <c r="BP39" s="36"/>
      <c r="BQ39" s="37"/>
      <c r="BR39" s="38"/>
      <c r="BS39" s="36"/>
      <c r="BT39" s="37"/>
      <c r="BU39" s="38"/>
      <c r="BV39" s="36"/>
      <c r="BW39" s="37"/>
      <c r="BX39" s="38"/>
      <c r="BY39" s="36"/>
      <c r="BZ39" s="37"/>
      <c r="CA39" s="38"/>
      <c r="CB39" s="36"/>
      <c r="CC39" s="37"/>
      <c r="CD39" s="38"/>
      <c r="CE39" s="36"/>
      <c r="CF39" s="37"/>
      <c r="CG39" s="38"/>
      <c r="CH39" s="36"/>
      <c r="CI39" s="37"/>
      <c r="CJ39" s="38"/>
      <c r="CK39" s="36"/>
      <c r="CL39" s="37"/>
      <c r="CM39" s="38"/>
      <c r="CN39" s="36"/>
      <c r="CO39" s="37"/>
      <c r="CP39" s="38"/>
      <c r="CQ39" s="36"/>
      <c r="CR39" s="37"/>
      <c r="CS39" s="38"/>
      <c r="CT39" s="36"/>
      <c r="CU39" s="37"/>
      <c r="CV39" s="38"/>
      <c r="CW39" s="36"/>
      <c r="CX39" s="37"/>
      <c r="CY39" s="38"/>
      <c r="CZ39" s="36"/>
      <c r="DA39" s="37"/>
      <c r="DB39" s="38"/>
      <c r="DC39" s="36"/>
      <c r="DD39" s="37"/>
      <c r="DE39" s="38"/>
      <c r="DF39" s="36"/>
      <c r="DG39" s="37"/>
      <c r="DH39" s="38"/>
      <c r="DI39" s="36"/>
      <c r="DJ39" s="37"/>
      <c r="DK39" s="38"/>
      <c r="DL39" s="36"/>
      <c r="DM39" s="37"/>
      <c r="DN39" s="38"/>
      <c r="DO39" s="36"/>
      <c r="DP39" s="37"/>
      <c r="DQ39" s="38"/>
      <c r="DR39" s="36"/>
      <c r="DS39" s="37"/>
      <c r="DT39" s="38"/>
      <c r="DU39" s="36"/>
      <c r="DV39" s="37"/>
      <c r="DW39" s="38"/>
      <c r="DX39" s="36"/>
      <c r="DY39" s="37"/>
      <c r="DZ39" s="38"/>
      <c r="EA39" s="36"/>
      <c r="EB39" s="37"/>
      <c r="EC39" s="38"/>
      <c r="ED39" s="36"/>
      <c r="EE39" s="37"/>
      <c r="EF39" s="38"/>
      <c r="EG39" s="36"/>
      <c r="EH39" s="37"/>
      <c r="EI39" s="38"/>
      <c r="EJ39" s="36"/>
      <c r="EK39" s="37"/>
      <c r="EL39" s="38"/>
      <c r="EM39" s="36"/>
      <c r="EN39" s="37"/>
      <c r="EO39" s="38"/>
      <c r="EP39" s="36"/>
      <c r="EQ39" s="37"/>
      <c r="ER39" s="38"/>
      <c r="ES39" s="36"/>
      <c r="ET39" s="37"/>
      <c r="EU39" s="38"/>
      <c r="EV39" s="36"/>
      <c r="EW39" s="37"/>
      <c r="EX39" s="38"/>
      <c r="EY39" s="36"/>
      <c r="EZ39" s="37"/>
      <c r="FA39" s="38"/>
      <c r="FB39" s="36"/>
      <c r="FC39" s="37"/>
      <c r="FD39" s="38"/>
    </row>
    <row r="40" spans="1:160" x14ac:dyDescent="0.25">
      <c r="A40" s="32" t="s">
        <v>30</v>
      </c>
      <c r="B40" s="33">
        <f t="shared" si="1"/>
        <v>5</v>
      </c>
      <c r="C40" s="34">
        <f t="shared" si="1"/>
        <v>2</v>
      </c>
      <c r="D40" s="35">
        <f t="shared" si="1"/>
        <v>0</v>
      </c>
      <c r="E40" s="36">
        <v>0</v>
      </c>
      <c r="F40" s="37"/>
      <c r="G40" s="38"/>
      <c r="H40" s="36">
        <v>4</v>
      </c>
      <c r="I40" s="37"/>
      <c r="J40" s="38"/>
      <c r="K40" s="36">
        <v>0</v>
      </c>
      <c r="L40" s="37"/>
      <c r="M40" s="38"/>
      <c r="N40" s="36">
        <v>1</v>
      </c>
      <c r="O40" s="37"/>
      <c r="P40" s="38"/>
      <c r="Q40" s="29">
        <f>IFERROR(VLOOKUP($A40,'[1]05'!$A$4:$BH$96,54,FALSE),0)</f>
        <v>0</v>
      </c>
      <c r="R40" s="37">
        <f>IFERROR(VLOOKUP($A40,'[1]05'!$A$4:$BH$96,55,FALSE),0)</f>
        <v>2</v>
      </c>
      <c r="S40" s="38">
        <f>IFERROR(VLOOKUP($A40,'[1]05'!$A$4:$BH$96,56,FALSE),0)</f>
        <v>0</v>
      </c>
      <c r="T40" s="29">
        <f>IFERROR(VLOOKUP($A40,'[1]06'!$A$4:$BK$96,54,FALSE),0)</f>
        <v>0</v>
      </c>
      <c r="U40" s="37">
        <f>IFERROR(VLOOKUP($A40,'[1]06'!$A$4:$BK$96,56,FALSE),0)</f>
        <v>0</v>
      </c>
      <c r="V40" s="38">
        <f>IFERROR(VLOOKUP($A40,'[1]06'!$A$4:$BK$96,58,FALSE),0)</f>
        <v>0</v>
      </c>
      <c r="W40" s="29">
        <f>IFERROR(VLOOKUP($A40,'[1]06'!$A$4:$BK$96,54,FALSE),0)</f>
        <v>0</v>
      </c>
      <c r="X40" s="37">
        <f>IFERROR(VLOOKUP($A40,'[1]06'!$A$4:$BK$96,56,FALSE),0)</f>
        <v>0</v>
      </c>
      <c r="Y40" s="38">
        <f>IFERROR(VLOOKUP($A40,'[1]06'!$A$4:$BK$96,58,FALSE),0)</f>
        <v>0</v>
      </c>
      <c r="Z40" s="36"/>
      <c r="AA40" s="37"/>
      <c r="AB40" s="38"/>
      <c r="AC40" s="36"/>
      <c r="AD40" s="37"/>
      <c r="AE40" s="38"/>
      <c r="AF40" s="36"/>
      <c r="AG40" s="37"/>
      <c r="AH40" s="38"/>
      <c r="AI40" s="36"/>
      <c r="AJ40" s="37"/>
      <c r="AK40" s="38"/>
      <c r="AL40" s="36"/>
      <c r="AM40" s="37"/>
      <c r="AN40" s="38"/>
      <c r="AO40" s="36"/>
      <c r="AP40" s="37"/>
      <c r="AQ40" s="38"/>
      <c r="AR40" s="36"/>
      <c r="AS40" s="37"/>
      <c r="AT40" s="38"/>
      <c r="AU40" s="36"/>
      <c r="AV40" s="37"/>
      <c r="AW40" s="38"/>
      <c r="AX40" s="36"/>
      <c r="AY40" s="37"/>
      <c r="AZ40" s="38"/>
      <c r="BA40" s="36"/>
      <c r="BB40" s="37"/>
      <c r="BC40" s="38"/>
      <c r="BD40" s="36"/>
      <c r="BE40" s="37"/>
      <c r="BF40" s="38"/>
      <c r="BG40" s="36"/>
      <c r="BH40" s="37"/>
      <c r="BI40" s="38"/>
      <c r="BJ40" s="36"/>
      <c r="BK40" s="37"/>
      <c r="BL40" s="38"/>
      <c r="BM40" s="36"/>
      <c r="BN40" s="37"/>
      <c r="BO40" s="38"/>
      <c r="BP40" s="36"/>
      <c r="BQ40" s="37"/>
      <c r="BR40" s="38"/>
      <c r="BS40" s="36"/>
      <c r="BT40" s="37"/>
      <c r="BU40" s="38"/>
      <c r="BV40" s="36"/>
      <c r="BW40" s="37"/>
      <c r="BX40" s="38"/>
      <c r="BY40" s="36"/>
      <c r="BZ40" s="37"/>
      <c r="CA40" s="38"/>
      <c r="CB40" s="36"/>
      <c r="CC40" s="37"/>
      <c r="CD40" s="38"/>
      <c r="CE40" s="36"/>
      <c r="CF40" s="37"/>
      <c r="CG40" s="38"/>
      <c r="CH40" s="36"/>
      <c r="CI40" s="37"/>
      <c r="CJ40" s="38"/>
      <c r="CK40" s="36"/>
      <c r="CL40" s="37"/>
      <c r="CM40" s="38"/>
      <c r="CN40" s="36"/>
      <c r="CO40" s="37"/>
      <c r="CP40" s="38"/>
      <c r="CQ40" s="36"/>
      <c r="CR40" s="37"/>
      <c r="CS40" s="38"/>
      <c r="CT40" s="36"/>
      <c r="CU40" s="37"/>
      <c r="CV40" s="38"/>
      <c r="CW40" s="36"/>
      <c r="CX40" s="37"/>
      <c r="CY40" s="38"/>
      <c r="CZ40" s="36"/>
      <c r="DA40" s="37"/>
      <c r="DB40" s="38"/>
      <c r="DC40" s="36"/>
      <c r="DD40" s="37"/>
      <c r="DE40" s="38"/>
      <c r="DF40" s="36"/>
      <c r="DG40" s="37"/>
      <c r="DH40" s="38"/>
      <c r="DI40" s="36"/>
      <c r="DJ40" s="37"/>
      <c r="DK40" s="38"/>
      <c r="DL40" s="36"/>
      <c r="DM40" s="37"/>
      <c r="DN40" s="38"/>
      <c r="DO40" s="36"/>
      <c r="DP40" s="37"/>
      <c r="DQ40" s="38"/>
      <c r="DR40" s="36"/>
      <c r="DS40" s="37"/>
      <c r="DT40" s="38"/>
      <c r="DU40" s="36"/>
      <c r="DV40" s="37"/>
      <c r="DW40" s="38"/>
      <c r="DX40" s="36"/>
      <c r="DY40" s="37"/>
      <c r="DZ40" s="38"/>
      <c r="EA40" s="36"/>
      <c r="EB40" s="37"/>
      <c r="EC40" s="38"/>
      <c r="ED40" s="36"/>
      <c r="EE40" s="37"/>
      <c r="EF40" s="38"/>
      <c r="EG40" s="36"/>
      <c r="EH40" s="37"/>
      <c r="EI40" s="38"/>
      <c r="EJ40" s="36"/>
      <c r="EK40" s="37"/>
      <c r="EL40" s="38"/>
      <c r="EM40" s="36"/>
      <c r="EN40" s="37"/>
      <c r="EO40" s="38"/>
      <c r="EP40" s="36"/>
      <c r="EQ40" s="37"/>
      <c r="ER40" s="38"/>
      <c r="ES40" s="36"/>
      <c r="ET40" s="37"/>
      <c r="EU40" s="38"/>
      <c r="EV40" s="36"/>
      <c r="EW40" s="37"/>
      <c r="EX40" s="38"/>
      <c r="EY40" s="36"/>
      <c r="EZ40" s="37"/>
      <c r="FA40" s="38"/>
      <c r="FB40" s="36"/>
      <c r="FC40" s="37"/>
      <c r="FD40" s="38"/>
    </row>
    <row r="41" spans="1:160" x14ac:dyDescent="0.25">
      <c r="A41" s="32" t="s">
        <v>17</v>
      </c>
      <c r="B41" s="33">
        <f t="shared" si="1"/>
        <v>2</v>
      </c>
      <c r="C41" s="34">
        <f t="shared" si="1"/>
        <v>1</v>
      </c>
      <c r="D41" s="35">
        <f t="shared" si="1"/>
        <v>0</v>
      </c>
      <c r="E41" s="36">
        <v>0</v>
      </c>
      <c r="F41" s="37"/>
      <c r="G41" s="38"/>
      <c r="H41" s="36">
        <v>0</v>
      </c>
      <c r="I41" s="37"/>
      <c r="J41" s="38"/>
      <c r="K41" s="36">
        <v>1</v>
      </c>
      <c r="L41" s="37"/>
      <c r="M41" s="38"/>
      <c r="N41" s="36">
        <v>0</v>
      </c>
      <c r="O41" s="37"/>
      <c r="P41" s="38"/>
      <c r="Q41" s="29">
        <f>IFERROR(VLOOKUP($A41,'[1]05'!$A$4:$BH$96,54,FALSE),0)</f>
        <v>1</v>
      </c>
      <c r="R41" s="37">
        <f>IFERROR(VLOOKUP($A41,'[1]05'!$A$4:$BH$96,55,FALSE),0)</f>
        <v>1</v>
      </c>
      <c r="S41" s="38">
        <f>IFERROR(VLOOKUP($A41,'[1]05'!$A$4:$BH$96,56,FALSE),0)</f>
        <v>0</v>
      </c>
      <c r="T41" s="29">
        <f>IFERROR(VLOOKUP($A41,'[1]06'!$A$4:$BK$96,54,FALSE),0)</f>
        <v>0</v>
      </c>
      <c r="U41" s="37">
        <f>IFERROR(VLOOKUP($A41,'[1]06'!$A$4:$BK$96,56,FALSE),0)</f>
        <v>0</v>
      </c>
      <c r="V41" s="38">
        <f>IFERROR(VLOOKUP($A41,'[1]06'!$A$4:$BK$96,58,FALSE),0)</f>
        <v>0</v>
      </c>
      <c r="W41" s="29">
        <f>IFERROR(VLOOKUP($A41,'[1]06'!$A$4:$BK$96,54,FALSE),0)</f>
        <v>0</v>
      </c>
      <c r="X41" s="37">
        <f>IFERROR(VLOOKUP($A41,'[1]06'!$A$4:$BK$96,56,FALSE),0)</f>
        <v>0</v>
      </c>
      <c r="Y41" s="38">
        <f>IFERROR(VLOOKUP($A41,'[1]06'!$A$4:$BK$96,58,FALSE),0)</f>
        <v>0</v>
      </c>
      <c r="Z41" s="36"/>
      <c r="AA41" s="37"/>
      <c r="AB41" s="38"/>
      <c r="AC41" s="36"/>
      <c r="AD41" s="37"/>
      <c r="AE41" s="38"/>
      <c r="AF41" s="36"/>
      <c r="AG41" s="37"/>
      <c r="AH41" s="38"/>
      <c r="AI41" s="36"/>
      <c r="AJ41" s="37"/>
      <c r="AK41" s="38"/>
      <c r="AL41" s="36"/>
      <c r="AM41" s="37"/>
      <c r="AN41" s="38"/>
      <c r="AO41" s="36"/>
      <c r="AP41" s="37"/>
      <c r="AQ41" s="38"/>
      <c r="AR41" s="36"/>
      <c r="AS41" s="37"/>
      <c r="AT41" s="38"/>
      <c r="AU41" s="36"/>
      <c r="AV41" s="37"/>
      <c r="AW41" s="38"/>
      <c r="AX41" s="36"/>
      <c r="AY41" s="37"/>
      <c r="AZ41" s="38"/>
      <c r="BA41" s="36"/>
      <c r="BB41" s="37"/>
      <c r="BC41" s="38"/>
      <c r="BD41" s="36"/>
      <c r="BE41" s="37"/>
      <c r="BF41" s="38"/>
      <c r="BG41" s="36"/>
      <c r="BH41" s="37"/>
      <c r="BI41" s="38"/>
      <c r="BJ41" s="36"/>
      <c r="BK41" s="37"/>
      <c r="BL41" s="38"/>
      <c r="BM41" s="36"/>
      <c r="BN41" s="37"/>
      <c r="BO41" s="38"/>
      <c r="BP41" s="36"/>
      <c r="BQ41" s="37"/>
      <c r="BR41" s="38"/>
      <c r="BS41" s="36"/>
      <c r="BT41" s="37"/>
      <c r="BU41" s="38"/>
      <c r="BV41" s="36"/>
      <c r="BW41" s="37"/>
      <c r="BX41" s="38"/>
      <c r="BY41" s="36"/>
      <c r="BZ41" s="37"/>
      <c r="CA41" s="38"/>
      <c r="CB41" s="36"/>
      <c r="CC41" s="37"/>
      <c r="CD41" s="38"/>
      <c r="CE41" s="36"/>
      <c r="CF41" s="37"/>
      <c r="CG41" s="38"/>
      <c r="CH41" s="36"/>
      <c r="CI41" s="37"/>
      <c r="CJ41" s="38"/>
      <c r="CK41" s="36"/>
      <c r="CL41" s="37"/>
      <c r="CM41" s="38"/>
      <c r="CN41" s="36"/>
      <c r="CO41" s="37"/>
      <c r="CP41" s="38"/>
      <c r="CQ41" s="36"/>
      <c r="CR41" s="37"/>
      <c r="CS41" s="38"/>
      <c r="CT41" s="36"/>
      <c r="CU41" s="37"/>
      <c r="CV41" s="38"/>
      <c r="CW41" s="36"/>
      <c r="CX41" s="37"/>
      <c r="CY41" s="38"/>
      <c r="CZ41" s="36"/>
      <c r="DA41" s="37"/>
      <c r="DB41" s="38"/>
      <c r="DC41" s="36"/>
      <c r="DD41" s="37"/>
      <c r="DE41" s="38"/>
      <c r="DF41" s="36"/>
      <c r="DG41" s="37"/>
      <c r="DH41" s="38"/>
      <c r="DI41" s="36"/>
      <c r="DJ41" s="37"/>
      <c r="DK41" s="38"/>
      <c r="DL41" s="36"/>
      <c r="DM41" s="37"/>
      <c r="DN41" s="38"/>
      <c r="DO41" s="36"/>
      <c r="DP41" s="37"/>
      <c r="DQ41" s="38"/>
      <c r="DR41" s="36"/>
      <c r="DS41" s="37"/>
      <c r="DT41" s="38"/>
      <c r="DU41" s="36"/>
      <c r="DV41" s="37"/>
      <c r="DW41" s="38"/>
      <c r="DX41" s="36"/>
      <c r="DY41" s="37"/>
      <c r="DZ41" s="38"/>
      <c r="EA41" s="36"/>
      <c r="EB41" s="37"/>
      <c r="EC41" s="38"/>
      <c r="ED41" s="36"/>
      <c r="EE41" s="37"/>
      <c r="EF41" s="38"/>
      <c r="EG41" s="36"/>
      <c r="EH41" s="37"/>
      <c r="EI41" s="38"/>
      <c r="EJ41" s="36"/>
      <c r="EK41" s="37"/>
      <c r="EL41" s="38"/>
      <c r="EM41" s="36"/>
      <c r="EN41" s="37"/>
      <c r="EO41" s="38"/>
      <c r="EP41" s="36"/>
      <c r="EQ41" s="37"/>
      <c r="ER41" s="38"/>
      <c r="ES41" s="36"/>
      <c r="ET41" s="37"/>
      <c r="EU41" s="38"/>
      <c r="EV41" s="36"/>
      <c r="EW41" s="37"/>
      <c r="EX41" s="38"/>
      <c r="EY41" s="36"/>
      <c r="EZ41" s="37"/>
      <c r="FA41" s="38"/>
      <c r="FB41" s="36"/>
      <c r="FC41" s="37"/>
      <c r="FD41" s="38"/>
    </row>
    <row r="42" spans="1:160" x14ac:dyDescent="0.25">
      <c r="A42" s="32" t="s">
        <v>23</v>
      </c>
      <c r="B42" s="33">
        <f t="shared" si="1"/>
        <v>0</v>
      </c>
      <c r="C42" s="34">
        <f t="shared" si="1"/>
        <v>0</v>
      </c>
      <c r="D42" s="35">
        <f t="shared" si="1"/>
        <v>1</v>
      </c>
      <c r="E42" s="36">
        <v>0</v>
      </c>
      <c r="F42" s="37"/>
      <c r="G42" s="38"/>
      <c r="H42" s="36">
        <v>0</v>
      </c>
      <c r="I42" s="37"/>
      <c r="J42" s="38"/>
      <c r="K42" s="36">
        <v>0</v>
      </c>
      <c r="L42" s="37"/>
      <c r="M42" s="38"/>
      <c r="N42" s="36">
        <v>0</v>
      </c>
      <c r="O42" s="37"/>
      <c r="P42" s="38"/>
      <c r="Q42" s="29">
        <f>IFERROR(VLOOKUP($A42,'[1]05'!$A$4:$BH$96,54,FALSE),0)</f>
        <v>0</v>
      </c>
      <c r="R42" s="37">
        <f>IFERROR(VLOOKUP($A42,'[1]05'!$A$4:$BH$96,55,FALSE),0)</f>
        <v>0</v>
      </c>
      <c r="S42" s="38">
        <f>IFERROR(VLOOKUP($A42,'[1]05'!$A$4:$BH$96,56,FALSE),0)</f>
        <v>1</v>
      </c>
      <c r="T42" s="29">
        <f>IFERROR(VLOOKUP($A42,'[1]06'!$A$4:$BK$96,54,FALSE),0)</f>
        <v>0</v>
      </c>
      <c r="U42" s="37">
        <f>IFERROR(VLOOKUP($A42,'[1]06'!$A$4:$BK$96,56,FALSE),0)</f>
        <v>0</v>
      </c>
      <c r="V42" s="38">
        <f>IFERROR(VLOOKUP($A42,'[1]06'!$A$4:$BK$96,58,FALSE),0)</f>
        <v>0</v>
      </c>
      <c r="W42" s="29">
        <f>IFERROR(VLOOKUP($A42,'[1]06'!$A$4:$BK$96,54,FALSE),0)</f>
        <v>0</v>
      </c>
      <c r="X42" s="37">
        <f>IFERROR(VLOOKUP($A42,'[1]06'!$A$4:$BK$96,56,FALSE),0)</f>
        <v>0</v>
      </c>
      <c r="Y42" s="38">
        <f>IFERROR(VLOOKUP($A42,'[1]06'!$A$4:$BK$96,58,FALSE),0)</f>
        <v>0</v>
      </c>
      <c r="Z42" s="36"/>
      <c r="AA42" s="37"/>
      <c r="AB42" s="38"/>
      <c r="AC42" s="36"/>
      <c r="AD42" s="37"/>
      <c r="AE42" s="38"/>
      <c r="AF42" s="36"/>
      <c r="AG42" s="37"/>
      <c r="AH42" s="38"/>
      <c r="AI42" s="36"/>
      <c r="AJ42" s="37"/>
      <c r="AK42" s="38"/>
      <c r="AL42" s="36"/>
      <c r="AM42" s="37"/>
      <c r="AN42" s="38"/>
      <c r="AO42" s="36"/>
      <c r="AP42" s="37"/>
      <c r="AQ42" s="38"/>
      <c r="AR42" s="36"/>
      <c r="AS42" s="37"/>
      <c r="AT42" s="38"/>
      <c r="AU42" s="36"/>
      <c r="AV42" s="37"/>
      <c r="AW42" s="38"/>
      <c r="AX42" s="36"/>
      <c r="AY42" s="37"/>
      <c r="AZ42" s="38"/>
      <c r="BA42" s="36"/>
      <c r="BB42" s="37"/>
      <c r="BC42" s="38"/>
      <c r="BD42" s="36"/>
      <c r="BE42" s="37"/>
      <c r="BF42" s="38"/>
      <c r="BG42" s="36"/>
      <c r="BH42" s="37"/>
      <c r="BI42" s="38"/>
      <c r="BJ42" s="36"/>
      <c r="BK42" s="37"/>
      <c r="BL42" s="38"/>
      <c r="BM42" s="36"/>
      <c r="BN42" s="37"/>
      <c r="BO42" s="38"/>
      <c r="BP42" s="36"/>
      <c r="BQ42" s="37"/>
      <c r="BR42" s="38"/>
      <c r="BS42" s="36"/>
      <c r="BT42" s="37"/>
      <c r="BU42" s="38"/>
      <c r="BV42" s="36"/>
      <c r="BW42" s="37"/>
      <c r="BX42" s="38"/>
      <c r="BY42" s="36"/>
      <c r="BZ42" s="37"/>
      <c r="CA42" s="38"/>
      <c r="CB42" s="36"/>
      <c r="CC42" s="37"/>
      <c r="CD42" s="38"/>
      <c r="CE42" s="36"/>
      <c r="CF42" s="37"/>
      <c r="CG42" s="38"/>
      <c r="CH42" s="36"/>
      <c r="CI42" s="37"/>
      <c r="CJ42" s="38"/>
      <c r="CK42" s="36"/>
      <c r="CL42" s="37"/>
      <c r="CM42" s="38"/>
      <c r="CN42" s="36"/>
      <c r="CO42" s="37"/>
      <c r="CP42" s="38"/>
      <c r="CQ42" s="36"/>
      <c r="CR42" s="37"/>
      <c r="CS42" s="38"/>
      <c r="CT42" s="36"/>
      <c r="CU42" s="37"/>
      <c r="CV42" s="38"/>
      <c r="CW42" s="36"/>
      <c r="CX42" s="37"/>
      <c r="CY42" s="38"/>
      <c r="CZ42" s="36"/>
      <c r="DA42" s="37"/>
      <c r="DB42" s="38"/>
      <c r="DC42" s="36"/>
      <c r="DD42" s="37"/>
      <c r="DE42" s="38"/>
      <c r="DF42" s="36"/>
      <c r="DG42" s="37"/>
      <c r="DH42" s="38"/>
      <c r="DI42" s="36"/>
      <c r="DJ42" s="37"/>
      <c r="DK42" s="38"/>
      <c r="DL42" s="36"/>
      <c r="DM42" s="37"/>
      <c r="DN42" s="38"/>
      <c r="DO42" s="36"/>
      <c r="DP42" s="37"/>
      <c r="DQ42" s="38"/>
      <c r="DR42" s="36"/>
      <c r="DS42" s="37"/>
      <c r="DT42" s="38"/>
      <c r="DU42" s="36"/>
      <c r="DV42" s="37"/>
      <c r="DW42" s="38"/>
      <c r="DX42" s="36"/>
      <c r="DY42" s="37"/>
      <c r="DZ42" s="38"/>
      <c r="EA42" s="36"/>
      <c r="EB42" s="37"/>
      <c r="EC42" s="38"/>
      <c r="ED42" s="36"/>
      <c r="EE42" s="37"/>
      <c r="EF42" s="38"/>
      <c r="EG42" s="36"/>
      <c r="EH42" s="37"/>
      <c r="EI42" s="38"/>
      <c r="EJ42" s="36"/>
      <c r="EK42" s="37"/>
      <c r="EL42" s="38"/>
      <c r="EM42" s="36"/>
      <c r="EN42" s="37"/>
      <c r="EO42" s="38"/>
      <c r="EP42" s="36"/>
      <c r="EQ42" s="37"/>
      <c r="ER42" s="38"/>
      <c r="ES42" s="36"/>
      <c r="ET42" s="37"/>
      <c r="EU42" s="38"/>
      <c r="EV42" s="36"/>
      <c r="EW42" s="37"/>
      <c r="EX42" s="38"/>
      <c r="EY42" s="36"/>
      <c r="EZ42" s="37"/>
      <c r="FA42" s="38"/>
      <c r="FB42" s="36"/>
      <c r="FC42" s="37"/>
      <c r="FD42" s="38"/>
    </row>
    <row r="43" spans="1:160" x14ac:dyDescent="0.25">
      <c r="A43" s="32" t="s">
        <v>48</v>
      </c>
      <c r="B43" s="33">
        <f t="shared" si="1"/>
        <v>3</v>
      </c>
      <c r="C43" s="34">
        <f t="shared" si="1"/>
        <v>0</v>
      </c>
      <c r="D43" s="35">
        <f t="shared" si="1"/>
        <v>0</v>
      </c>
      <c r="E43" s="36">
        <v>3</v>
      </c>
      <c r="F43" s="37"/>
      <c r="G43" s="38"/>
      <c r="H43" s="36">
        <v>0</v>
      </c>
      <c r="I43" s="37"/>
      <c r="J43" s="38"/>
      <c r="K43" s="36">
        <v>0</v>
      </c>
      <c r="L43" s="37"/>
      <c r="M43" s="38"/>
      <c r="N43" s="36">
        <v>0</v>
      </c>
      <c r="O43" s="37"/>
      <c r="P43" s="38"/>
      <c r="Q43" s="29">
        <f>IFERROR(VLOOKUP($A43,'[1]05'!$A$4:$BH$96,54,FALSE),0)</f>
        <v>0</v>
      </c>
      <c r="R43" s="37">
        <f>IFERROR(VLOOKUP($A43,'[1]05'!$A$4:$BH$96,55,FALSE),0)</f>
        <v>0</v>
      </c>
      <c r="S43" s="38">
        <f>IFERROR(VLOOKUP($A43,'[1]05'!$A$4:$BH$96,56,FALSE),0)</f>
        <v>0</v>
      </c>
      <c r="T43" s="29">
        <f>IFERROR(VLOOKUP($A43,'[1]06'!$A$4:$BK$96,54,FALSE),0)</f>
        <v>0</v>
      </c>
      <c r="U43" s="37">
        <f>IFERROR(VLOOKUP($A43,'[1]06'!$A$4:$BK$96,56,FALSE),0)</f>
        <v>0</v>
      </c>
      <c r="V43" s="38">
        <f>IFERROR(VLOOKUP($A43,'[1]06'!$A$4:$BK$96,58,FALSE),0)</f>
        <v>0</v>
      </c>
      <c r="W43" s="29">
        <f>IFERROR(VLOOKUP($A43,'[1]06'!$A$4:$BK$96,54,FALSE),0)</f>
        <v>0</v>
      </c>
      <c r="X43" s="37">
        <f>IFERROR(VLOOKUP($A43,'[1]06'!$A$4:$BK$96,56,FALSE),0)</f>
        <v>0</v>
      </c>
      <c r="Y43" s="38">
        <f>IFERROR(VLOOKUP($A43,'[1]06'!$A$4:$BK$96,58,FALSE),0)</f>
        <v>0</v>
      </c>
      <c r="Z43" s="36"/>
      <c r="AA43" s="37"/>
      <c r="AB43" s="38"/>
      <c r="AC43" s="36"/>
      <c r="AD43" s="37"/>
      <c r="AE43" s="38"/>
      <c r="AF43" s="36"/>
      <c r="AG43" s="37"/>
      <c r="AH43" s="38"/>
      <c r="AI43" s="36"/>
      <c r="AJ43" s="37"/>
      <c r="AK43" s="38"/>
      <c r="AL43" s="36"/>
      <c r="AM43" s="37"/>
      <c r="AN43" s="38"/>
      <c r="AO43" s="36"/>
      <c r="AP43" s="37"/>
      <c r="AQ43" s="38"/>
      <c r="AR43" s="36"/>
      <c r="AS43" s="37"/>
      <c r="AT43" s="38"/>
      <c r="AU43" s="36"/>
      <c r="AV43" s="37"/>
      <c r="AW43" s="38"/>
      <c r="AX43" s="36"/>
      <c r="AY43" s="37"/>
      <c r="AZ43" s="38"/>
      <c r="BA43" s="36"/>
      <c r="BB43" s="37"/>
      <c r="BC43" s="38"/>
      <c r="BD43" s="36"/>
      <c r="BE43" s="37"/>
      <c r="BF43" s="38"/>
      <c r="BG43" s="36"/>
      <c r="BH43" s="37"/>
      <c r="BI43" s="38"/>
      <c r="BJ43" s="36"/>
      <c r="BK43" s="37"/>
      <c r="BL43" s="38"/>
      <c r="BM43" s="36"/>
      <c r="BN43" s="37"/>
      <c r="BO43" s="38"/>
      <c r="BP43" s="36"/>
      <c r="BQ43" s="37"/>
      <c r="BR43" s="38"/>
      <c r="BS43" s="36"/>
      <c r="BT43" s="37"/>
      <c r="BU43" s="38"/>
      <c r="BV43" s="36"/>
      <c r="BW43" s="37"/>
      <c r="BX43" s="38"/>
      <c r="BY43" s="36"/>
      <c r="BZ43" s="37"/>
      <c r="CA43" s="38"/>
      <c r="CB43" s="36"/>
      <c r="CC43" s="37"/>
      <c r="CD43" s="38"/>
      <c r="CE43" s="36"/>
      <c r="CF43" s="37"/>
      <c r="CG43" s="38"/>
      <c r="CH43" s="36"/>
      <c r="CI43" s="37"/>
      <c r="CJ43" s="38"/>
      <c r="CK43" s="36"/>
      <c r="CL43" s="37"/>
      <c r="CM43" s="38"/>
      <c r="CN43" s="36"/>
      <c r="CO43" s="37"/>
      <c r="CP43" s="38"/>
      <c r="CQ43" s="36"/>
      <c r="CR43" s="37"/>
      <c r="CS43" s="38"/>
      <c r="CT43" s="36"/>
      <c r="CU43" s="37"/>
      <c r="CV43" s="38"/>
      <c r="CW43" s="36"/>
      <c r="CX43" s="37"/>
      <c r="CY43" s="38"/>
      <c r="CZ43" s="36"/>
      <c r="DA43" s="37"/>
      <c r="DB43" s="38"/>
      <c r="DC43" s="36"/>
      <c r="DD43" s="37"/>
      <c r="DE43" s="38"/>
      <c r="DF43" s="36"/>
      <c r="DG43" s="37"/>
      <c r="DH43" s="38"/>
      <c r="DI43" s="36"/>
      <c r="DJ43" s="37"/>
      <c r="DK43" s="38"/>
      <c r="DL43" s="36"/>
      <c r="DM43" s="37"/>
      <c r="DN43" s="38"/>
      <c r="DO43" s="36"/>
      <c r="DP43" s="37"/>
      <c r="DQ43" s="38"/>
      <c r="DR43" s="36"/>
      <c r="DS43" s="37"/>
      <c r="DT43" s="38"/>
      <c r="DU43" s="36"/>
      <c r="DV43" s="37"/>
      <c r="DW43" s="38"/>
      <c r="DX43" s="36"/>
      <c r="DY43" s="37"/>
      <c r="DZ43" s="38"/>
      <c r="EA43" s="36"/>
      <c r="EB43" s="37"/>
      <c r="EC43" s="38"/>
      <c r="ED43" s="36"/>
      <c r="EE43" s="37"/>
      <c r="EF43" s="38"/>
      <c r="EG43" s="36"/>
      <c r="EH43" s="37"/>
      <c r="EI43" s="38"/>
      <c r="EJ43" s="36"/>
      <c r="EK43" s="37"/>
      <c r="EL43" s="38"/>
      <c r="EM43" s="36"/>
      <c r="EN43" s="37"/>
      <c r="EO43" s="38"/>
      <c r="EP43" s="36"/>
      <c r="EQ43" s="37"/>
      <c r="ER43" s="38"/>
      <c r="ES43" s="36"/>
      <c r="ET43" s="37"/>
      <c r="EU43" s="38"/>
      <c r="EV43" s="36"/>
      <c r="EW43" s="37"/>
      <c r="EX43" s="38"/>
      <c r="EY43" s="36"/>
      <c r="EZ43" s="37"/>
      <c r="FA43" s="38"/>
      <c r="FB43" s="36"/>
      <c r="FC43" s="37"/>
      <c r="FD43" s="38"/>
    </row>
    <row r="44" spans="1:160" x14ac:dyDescent="0.25">
      <c r="A44" s="32" t="s">
        <v>10</v>
      </c>
      <c r="B44" s="33">
        <f t="shared" ref="B44:D62" si="2">SUMIF($E$3:$FD$3,B$3,$E44:$FD44)</f>
        <v>1</v>
      </c>
      <c r="C44" s="34">
        <f t="shared" si="2"/>
        <v>1</v>
      </c>
      <c r="D44" s="35">
        <f t="shared" si="2"/>
        <v>0</v>
      </c>
      <c r="E44" s="36">
        <v>1</v>
      </c>
      <c r="F44" s="37"/>
      <c r="G44" s="38"/>
      <c r="H44" s="36">
        <v>0</v>
      </c>
      <c r="I44" s="37"/>
      <c r="J44" s="38"/>
      <c r="K44" s="36">
        <v>0</v>
      </c>
      <c r="L44" s="37"/>
      <c r="M44" s="38"/>
      <c r="N44" s="36">
        <v>0</v>
      </c>
      <c r="O44" s="37"/>
      <c r="P44" s="38"/>
      <c r="Q44" s="29">
        <f>IFERROR(VLOOKUP($A44,'[1]05'!$A$4:$BH$96,54,FALSE),0)</f>
        <v>0</v>
      </c>
      <c r="R44" s="37">
        <f>IFERROR(VLOOKUP($A44,'[1]05'!$A$4:$BH$96,55,FALSE),0)</f>
        <v>1</v>
      </c>
      <c r="S44" s="38">
        <f>IFERROR(VLOOKUP($A44,'[1]05'!$A$4:$BH$96,56,FALSE),0)</f>
        <v>0</v>
      </c>
      <c r="T44" s="29">
        <f>IFERROR(VLOOKUP($A44,'[1]06'!$A$4:$BK$96,54,FALSE),0)</f>
        <v>0</v>
      </c>
      <c r="U44" s="37">
        <f>IFERROR(VLOOKUP($A44,'[1]06'!$A$4:$BK$96,56,FALSE),0)</f>
        <v>0</v>
      </c>
      <c r="V44" s="38">
        <f>IFERROR(VLOOKUP($A44,'[1]06'!$A$4:$BK$96,58,FALSE),0)</f>
        <v>0</v>
      </c>
      <c r="W44" s="29">
        <f>IFERROR(VLOOKUP($A44,'[1]06'!$A$4:$BK$96,54,FALSE),0)</f>
        <v>0</v>
      </c>
      <c r="X44" s="37">
        <f>IFERROR(VLOOKUP($A44,'[1]06'!$A$4:$BK$96,56,FALSE),0)</f>
        <v>0</v>
      </c>
      <c r="Y44" s="38">
        <f>IFERROR(VLOOKUP($A44,'[1]06'!$A$4:$BK$96,58,FALSE),0)</f>
        <v>0</v>
      </c>
      <c r="Z44" s="36"/>
      <c r="AA44" s="37"/>
      <c r="AB44" s="38"/>
      <c r="AC44" s="36"/>
      <c r="AD44" s="37"/>
      <c r="AE44" s="38"/>
      <c r="AF44" s="36"/>
      <c r="AG44" s="37"/>
      <c r="AH44" s="38"/>
      <c r="AI44" s="36"/>
      <c r="AJ44" s="37"/>
      <c r="AK44" s="38"/>
      <c r="AL44" s="36"/>
      <c r="AM44" s="37"/>
      <c r="AN44" s="38"/>
      <c r="AO44" s="36"/>
      <c r="AP44" s="37"/>
      <c r="AQ44" s="38"/>
      <c r="AR44" s="36"/>
      <c r="AS44" s="37"/>
      <c r="AT44" s="38"/>
      <c r="AU44" s="36"/>
      <c r="AV44" s="37"/>
      <c r="AW44" s="38"/>
      <c r="AX44" s="36"/>
      <c r="AY44" s="37"/>
      <c r="AZ44" s="38"/>
      <c r="BA44" s="36"/>
      <c r="BB44" s="37"/>
      <c r="BC44" s="38"/>
      <c r="BD44" s="36"/>
      <c r="BE44" s="37"/>
      <c r="BF44" s="38"/>
      <c r="BG44" s="36"/>
      <c r="BH44" s="37"/>
      <c r="BI44" s="38"/>
      <c r="BJ44" s="36"/>
      <c r="BK44" s="37"/>
      <c r="BL44" s="38"/>
      <c r="BM44" s="36"/>
      <c r="BN44" s="37"/>
      <c r="BO44" s="38"/>
      <c r="BP44" s="36"/>
      <c r="BQ44" s="37"/>
      <c r="BR44" s="38"/>
      <c r="BS44" s="36"/>
      <c r="BT44" s="37"/>
      <c r="BU44" s="38"/>
      <c r="BV44" s="36"/>
      <c r="BW44" s="37"/>
      <c r="BX44" s="38"/>
      <c r="BY44" s="36"/>
      <c r="BZ44" s="37"/>
      <c r="CA44" s="38"/>
      <c r="CB44" s="36"/>
      <c r="CC44" s="37"/>
      <c r="CD44" s="38"/>
      <c r="CE44" s="36"/>
      <c r="CF44" s="37"/>
      <c r="CG44" s="38"/>
      <c r="CH44" s="36"/>
      <c r="CI44" s="37"/>
      <c r="CJ44" s="38"/>
      <c r="CK44" s="36"/>
      <c r="CL44" s="37"/>
      <c r="CM44" s="38"/>
      <c r="CN44" s="36"/>
      <c r="CO44" s="37"/>
      <c r="CP44" s="38"/>
      <c r="CQ44" s="36"/>
      <c r="CR44" s="37"/>
      <c r="CS44" s="38"/>
      <c r="CT44" s="36"/>
      <c r="CU44" s="37"/>
      <c r="CV44" s="38"/>
      <c r="CW44" s="36"/>
      <c r="CX44" s="37"/>
      <c r="CY44" s="38"/>
      <c r="CZ44" s="36"/>
      <c r="DA44" s="37"/>
      <c r="DB44" s="38"/>
      <c r="DC44" s="36"/>
      <c r="DD44" s="37"/>
      <c r="DE44" s="38"/>
      <c r="DF44" s="36"/>
      <c r="DG44" s="37"/>
      <c r="DH44" s="38"/>
      <c r="DI44" s="36"/>
      <c r="DJ44" s="37"/>
      <c r="DK44" s="38"/>
      <c r="DL44" s="36"/>
      <c r="DM44" s="37"/>
      <c r="DN44" s="38"/>
      <c r="DO44" s="36"/>
      <c r="DP44" s="37"/>
      <c r="DQ44" s="38"/>
      <c r="DR44" s="36"/>
      <c r="DS44" s="37"/>
      <c r="DT44" s="38"/>
      <c r="DU44" s="36"/>
      <c r="DV44" s="37"/>
      <c r="DW44" s="38"/>
      <c r="DX44" s="36"/>
      <c r="DY44" s="37"/>
      <c r="DZ44" s="38"/>
      <c r="EA44" s="36"/>
      <c r="EB44" s="37"/>
      <c r="EC44" s="38"/>
      <c r="ED44" s="36"/>
      <c r="EE44" s="37"/>
      <c r="EF44" s="38"/>
      <c r="EG44" s="36"/>
      <c r="EH44" s="37"/>
      <c r="EI44" s="38"/>
      <c r="EJ44" s="36"/>
      <c r="EK44" s="37"/>
      <c r="EL44" s="38"/>
      <c r="EM44" s="36"/>
      <c r="EN44" s="37"/>
      <c r="EO44" s="38"/>
      <c r="EP44" s="36"/>
      <c r="EQ44" s="37"/>
      <c r="ER44" s="38"/>
      <c r="ES44" s="36"/>
      <c r="ET44" s="37"/>
      <c r="EU44" s="38"/>
      <c r="EV44" s="36"/>
      <c r="EW44" s="37"/>
      <c r="EX44" s="38"/>
      <c r="EY44" s="36"/>
      <c r="EZ44" s="37"/>
      <c r="FA44" s="38"/>
      <c r="FB44" s="36"/>
      <c r="FC44" s="37"/>
      <c r="FD44" s="38"/>
    </row>
    <row r="45" spans="1:160" x14ac:dyDescent="0.25">
      <c r="A45" s="32" t="s">
        <v>76</v>
      </c>
      <c r="B45" s="33">
        <f t="shared" si="2"/>
        <v>1</v>
      </c>
      <c r="C45" s="34">
        <f t="shared" si="2"/>
        <v>0</v>
      </c>
      <c r="D45" s="35">
        <f t="shared" si="2"/>
        <v>0</v>
      </c>
      <c r="E45" s="36">
        <v>0</v>
      </c>
      <c r="F45" s="37"/>
      <c r="G45" s="38"/>
      <c r="H45" s="36">
        <v>0</v>
      </c>
      <c r="I45" s="37"/>
      <c r="J45" s="38"/>
      <c r="K45" s="36">
        <v>0</v>
      </c>
      <c r="L45" s="37"/>
      <c r="M45" s="38"/>
      <c r="N45" s="36">
        <v>1</v>
      </c>
      <c r="O45" s="37"/>
      <c r="P45" s="38"/>
      <c r="Q45" s="29">
        <f>IFERROR(VLOOKUP($A45,'[1]05'!$A$4:$BH$96,54,FALSE),0)</f>
        <v>0</v>
      </c>
      <c r="R45" s="37">
        <f>IFERROR(VLOOKUP($A45,'[1]05'!$A$4:$BH$96,55,FALSE),0)</f>
        <v>0</v>
      </c>
      <c r="S45" s="38">
        <f>IFERROR(VLOOKUP($A45,'[1]05'!$A$4:$BH$96,56,FALSE),0)</f>
        <v>0</v>
      </c>
      <c r="T45" s="29">
        <f>IFERROR(VLOOKUP($A45,'[1]06'!$A$4:$BK$96,54,FALSE),0)</f>
        <v>0</v>
      </c>
      <c r="U45" s="37">
        <f>IFERROR(VLOOKUP($A45,'[1]06'!$A$4:$BK$96,56,FALSE),0)</f>
        <v>0</v>
      </c>
      <c r="V45" s="38">
        <f>IFERROR(VLOOKUP($A45,'[1]06'!$A$4:$BK$96,58,FALSE),0)</f>
        <v>0</v>
      </c>
      <c r="W45" s="29">
        <f>IFERROR(VLOOKUP($A45,'[1]06'!$A$4:$BK$96,54,FALSE),0)</f>
        <v>0</v>
      </c>
      <c r="X45" s="37">
        <f>IFERROR(VLOOKUP($A45,'[1]06'!$A$4:$BK$96,56,FALSE),0)</f>
        <v>0</v>
      </c>
      <c r="Y45" s="38">
        <f>IFERROR(VLOOKUP($A45,'[1]06'!$A$4:$BK$96,58,FALSE),0)</f>
        <v>0</v>
      </c>
      <c r="Z45" s="36"/>
      <c r="AA45" s="37"/>
      <c r="AB45" s="38"/>
      <c r="AC45" s="36"/>
      <c r="AD45" s="37"/>
      <c r="AE45" s="38"/>
      <c r="AF45" s="36"/>
      <c r="AG45" s="37"/>
      <c r="AH45" s="38"/>
      <c r="AI45" s="36"/>
      <c r="AJ45" s="37"/>
      <c r="AK45" s="38"/>
      <c r="AL45" s="36"/>
      <c r="AM45" s="37"/>
      <c r="AN45" s="38"/>
      <c r="AO45" s="36"/>
      <c r="AP45" s="37"/>
      <c r="AQ45" s="38"/>
      <c r="AR45" s="36"/>
      <c r="AS45" s="37"/>
      <c r="AT45" s="38"/>
      <c r="AU45" s="36"/>
      <c r="AV45" s="37"/>
      <c r="AW45" s="38"/>
      <c r="AX45" s="36"/>
      <c r="AY45" s="37"/>
      <c r="AZ45" s="38"/>
      <c r="BA45" s="36"/>
      <c r="BB45" s="37"/>
      <c r="BC45" s="38"/>
      <c r="BD45" s="36"/>
      <c r="BE45" s="37"/>
      <c r="BF45" s="38"/>
      <c r="BG45" s="36"/>
      <c r="BH45" s="37"/>
      <c r="BI45" s="38"/>
      <c r="BJ45" s="36"/>
      <c r="BK45" s="37"/>
      <c r="BL45" s="38"/>
      <c r="BM45" s="36"/>
      <c r="BN45" s="37"/>
      <c r="BO45" s="38"/>
      <c r="BP45" s="36"/>
      <c r="BQ45" s="37"/>
      <c r="BR45" s="38"/>
      <c r="BS45" s="36"/>
      <c r="BT45" s="37"/>
      <c r="BU45" s="38"/>
      <c r="BV45" s="36"/>
      <c r="BW45" s="37"/>
      <c r="BX45" s="38"/>
      <c r="BY45" s="36"/>
      <c r="BZ45" s="37"/>
      <c r="CA45" s="38"/>
      <c r="CB45" s="36"/>
      <c r="CC45" s="37"/>
      <c r="CD45" s="38"/>
      <c r="CE45" s="36"/>
      <c r="CF45" s="37"/>
      <c r="CG45" s="38"/>
      <c r="CH45" s="36"/>
      <c r="CI45" s="37"/>
      <c r="CJ45" s="38"/>
      <c r="CK45" s="36"/>
      <c r="CL45" s="37"/>
      <c r="CM45" s="38"/>
      <c r="CN45" s="36"/>
      <c r="CO45" s="37"/>
      <c r="CP45" s="38"/>
      <c r="CQ45" s="36"/>
      <c r="CR45" s="37"/>
      <c r="CS45" s="38"/>
      <c r="CT45" s="36"/>
      <c r="CU45" s="37"/>
      <c r="CV45" s="38"/>
      <c r="CW45" s="36"/>
      <c r="CX45" s="37"/>
      <c r="CY45" s="38"/>
      <c r="CZ45" s="36"/>
      <c r="DA45" s="37"/>
      <c r="DB45" s="38"/>
      <c r="DC45" s="36"/>
      <c r="DD45" s="37"/>
      <c r="DE45" s="38"/>
      <c r="DF45" s="36"/>
      <c r="DG45" s="37"/>
      <c r="DH45" s="38"/>
      <c r="DI45" s="36"/>
      <c r="DJ45" s="37"/>
      <c r="DK45" s="38"/>
      <c r="DL45" s="36"/>
      <c r="DM45" s="37"/>
      <c r="DN45" s="38"/>
      <c r="DO45" s="36"/>
      <c r="DP45" s="37"/>
      <c r="DQ45" s="38"/>
      <c r="DR45" s="36"/>
      <c r="DS45" s="37"/>
      <c r="DT45" s="38"/>
      <c r="DU45" s="36"/>
      <c r="DV45" s="37"/>
      <c r="DW45" s="38"/>
      <c r="DX45" s="36"/>
      <c r="DY45" s="37"/>
      <c r="DZ45" s="38"/>
      <c r="EA45" s="36"/>
      <c r="EB45" s="37"/>
      <c r="EC45" s="38"/>
      <c r="ED45" s="36"/>
      <c r="EE45" s="37"/>
      <c r="EF45" s="38"/>
      <c r="EG45" s="36"/>
      <c r="EH45" s="37"/>
      <c r="EI45" s="38"/>
      <c r="EJ45" s="36"/>
      <c r="EK45" s="37"/>
      <c r="EL45" s="38"/>
      <c r="EM45" s="36"/>
      <c r="EN45" s="37"/>
      <c r="EO45" s="38"/>
      <c r="EP45" s="36"/>
      <c r="EQ45" s="37"/>
      <c r="ER45" s="38"/>
      <c r="ES45" s="36"/>
      <c r="ET45" s="37"/>
      <c r="EU45" s="38"/>
      <c r="EV45" s="36"/>
      <c r="EW45" s="37"/>
      <c r="EX45" s="38"/>
      <c r="EY45" s="36"/>
      <c r="EZ45" s="37"/>
      <c r="FA45" s="38"/>
      <c r="FB45" s="36"/>
      <c r="FC45" s="37"/>
      <c r="FD45" s="38"/>
    </row>
    <row r="46" spans="1:160" x14ac:dyDescent="0.25">
      <c r="A46" s="32" t="s">
        <v>14</v>
      </c>
      <c r="B46" s="33">
        <f t="shared" si="2"/>
        <v>1</v>
      </c>
      <c r="C46" s="34">
        <f t="shared" si="2"/>
        <v>0</v>
      </c>
      <c r="D46" s="35">
        <f t="shared" si="2"/>
        <v>0</v>
      </c>
      <c r="E46" s="36">
        <v>0</v>
      </c>
      <c r="F46" s="37"/>
      <c r="G46" s="38"/>
      <c r="H46" s="36">
        <v>0</v>
      </c>
      <c r="I46" s="37"/>
      <c r="J46" s="38"/>
      <c r="K46" s="36">
        <v>1</v>
      </c>
      <c r="L46" s="37"/>
      <c r="M46" s="38"/>
      <c r="N46" s="36">
        <v>0</v>
      </c>
      <c r="O46" s="37"/>
      <c r="P46" s="38"/>
      <c r="Q46" s="29">
        <f>IFERROR(VLOOKUP($A46,'[1]05'!$A$4:$BH$96,54,FALSE),0)</f>
        <v>0</v>
      </c>
      <c r="R46" s="37">
        <f>IFERROR(VLOOKUP($A46,'[1]05'!$A$4:$BH$96,55,FALSE),0)</f>
        <v>0</v>
      </c>
      <c r="S46" s="38">
        <f>IFERROR(VLOOKUP($A46,'[1]05'!$A$4:$BH$96,56,FALSE),0)</f>
        <v>0</v>
      </c>
      <c r="T46" s="29">
        <f>IFERROR(VLOOKUP($A46,'[1]06'!$A$4:$BK$96,54,FALSE),0)</f>
        <v>0</v>
      </c>
      <c r="U46" s="37">
        <f>IFERROR(VLOOKUP($A46,'[1]06'!$A$4:$BK$96,56,FALSE),0)</f>
        <v>0</v>
      </c>
      <c r="V46" s="38">
        <f>IFERROR(VLOOKUP($A46,'[1]06'!$A$4:$BK$96,58,FALSE),0)</f>
        <v>0</v>
      </c>
      <c r="W46" s="29">
        <f>IFERROR(VLOOKUP($A46,'[1]06'!$A$4:$BK$96,54,FALSE),0)</f>
        <v>0</v>
      </c>
      <c r="X46" s="37">
        <f>IFERROR(VLOOKUP($A46,'[1]06'!$A$4:$BK$96,56,FALSE),0)</f>
        <v>0</v>
      </c>
      <c r="Y46" s="38">
        <f>IFERROR(VLOOKUP($A46,'[1]06'!$A$4:$BK$96,58,FALSE),0)</f>
        <v>0</v>
      </c>
      <c r="Z46" s="36"/>
      <c r="AA46" s="37"/>
      <c r="AB46" s="38"/>
      <c r="AC46" s="36"/>
      <c r="AD46" s="37"/>
      <c r="AE46" s="38"/>
      <c r="AF46" s="36"/>
      <c r="AG46" s="37"/>
      <c r="AH46" s="38"/>
      <c r="AI46" s="36"/>
      <c r="AJ46" s="37"/>
      <c r="AK46" s="38"/>
      <c r="AL46" s="36"/>
      <c r="AM46" s="37"/>
      <c r="AN46" s="38"/>
      <c r="AO46" s="36"/>
      <c r="AP46" s="37"/>
      <c r="AQ46" s="38"/>
      <c r="AR46" s="36"/>
      <c r="AS46" s="37"/>
      <c r="AT46" s="38"/>
      <c r="AU46" s="36"/>
      <c r="AV46" s="37"/>
      <c r="AW46" s="38"/>
      <c r="AX46" s="36"/>
      <c r="AY46" s="37"/>
      <c r="AZ46" s="38"/>
      <c r="BA46" s="36"/>
      <c r="BB46" s="37"/>
      <c r="BC46" s="38"/>
      <c r="BD46" s="36"/>
      <c r="BE46" s="37"/>
      <c r="BF46" s="38"/>
      <c r="BG46" s="36"/>
      <c r="BH46" s="37"/>
      <c r="BI46" s="38"/>
      <c r="BJ46" s="36"/>
      <c r="BK46" s="37"/>
      <c r="BL46" s="38"/>
      <c r="BM46" s="36"/>
      <c r="BN46" s="37"/>
      <c r="BO46" s="38"/>
      <c r="BP46" s="36"/>
      <c r="BQ46" s="37"/>
      <c r="BR46" s="38"/>
      <c r="BS46" s="36"/>
      <c r="BT46" s="37"/>
      <c r="BU46" s="38"/>
      <c r="BV46" s="36"/>
      <c r="BW46" s="37"/>
      <c r="BX46" s="38"/>
      <c r="BY46" s="36"/>
      <c r="BZ46" s="37"/>
      <c r="CA46" s="38"/>
      <c r="CB46" s="36"/>
      <c r="CC46" s="37"/>
      <c r="CD46" s="38"/>
      <c r="CE46" s="36"/>
      <c r="CF46" s="37"/>
      <c r="CG46" s="38"/>
      <c r="CH46" s="36"/>
      <c r="CI46" s="37"/>
      <c r="CJ46" s="38"/>
      <c r="CK46" s="36"/>
      <c r="CL46" s="37"/>
      <c r="CM46" s="38"/>
      <c r="CN46" s="36"/>
      <c r="CO46" s="37"/>
      <c r="CP46" s="38"/>
      <c r="CQ46" s="36"/>
      <c r="CR46" s="37"/>
      <c r="CS46" s="38"/>
      <c r="CT46" s="36"/>
      <c r="CU46" s="37"/>
      <c r="CV46" s="38"/>
      <c r="CW46" s="36"/>
      <c r="CX46" s="37"/>
      <c r="CY46" s="38"/>
      <c r="CZ46" s="36"/>
      <c r="DA46" s="37"/>
      <c r="DB46" s="38"/>
      <c r="DC46" s="36"/>
      <c r="DD46" s="37"/>
      <c r="DE46" s="38"/>
      <c r="DF46" s="36"/>
      <c r="DG46" s="37"/>
      <c r="DH46" s="38"/>
      <c r="DI46" s="36"/>
      <c r="DJ46" s="37"/>
      <c r="DK46" s="38"/>
      <c r="DL46" s="36"/>
      <c r="DM46" s="37"/>
      <c r="DN46" s="38"/>
      <c r="DO46" s="36"/>
      <c r="DP46" s="37"/>
      <c r="DQ46" s="38"/>
      <c r="DR46" s="36"/>
      <c r="DS46" s="37"/>
      <c r="DT46" s="38"/>
      <c r="DU46" s="36"/>
      <c r="DV46" s="37"/>
      <c r="DW46" s="38"/>
      <c r="DX46" s="36"/>
      <c r="DY46" s="37"/>
      <c r="DZ46" s="38"/>
      <c r="EA46" s="36"/>
      <c r="EB46" s="37"/>
      <c r="EC46" s="38"/>
      <c r="ED46" s="36"/>
      <c r="EE46" s="37"/>
      <c r="EF46" s="38"/>
      <c r="EG46" s="36"/>
      <c r="EH46" s="37"/>
      <c r="EI46" s="38"/>
      <c r="EJ46" s="36"/>
      <c r="EK46" s="37"/>
      <c r="EL46" s="38"/>
      <c r="EM46" s="36"/>
      <c r="EN46" s="37"/>
      <c r="EO46" s="38"/>
      <c r="EP46" s="36"/>
      <c r="EQ46" s="37"/>
      <c r="ER46" s="38"/>
      <c r="ES46" s="36"/>
      <c r="ET46" s="37"/>
      <c r="EU46" s="38"/>
      <c r="EV46" s="36"/>
      <c r="EW46" s="37"/>
      <c r="EX46" s="38"/>
      <c r="EY46" s="36"/>
      <c r="EZ46" s="37"/>
      <c r="FA46" s="38"/>
      <c r="FB46" s="36"/>
      <c r="FC46" s="37"/>
      <c r="FD46" s="38"/>
    </row>
    <row r="47" spans="1:160" x14ac:dyDescent="0.25">
      <c r="A47" s="32" t="s">
        <v>6</v>
      </c>
      <c r="B47" s="33">
        <f t="shared" si="2"/>
        <v>0</v>
      </c>
      <c r="C47" s="34">
        <f t="shared" si="2"/>
        <v>1</v>
      </c>
      <c r="D47" s="35">
        <f t="shared" si="2"/>
        <v>0</v>
      </c>
      <c r="E47" s="36">
        <v>0</v>
      </c>
      <c r="F47" s="37"/>
      <c r="G47" s="38"/>
      <c r="H47" s="36">
        <v>0</v>
      </c>
      <c r="I47" s="37"/>
      <c r="J47" s="38"/>
      <c r="K47" s="36">
        <v>0</v>
      </c>
      <c r="L47" s="37"/>
      <c r="M47" s="38"/>
      <c r="N47" s="36">
        <v>0</v>
      </c>
      <c r="O47" s="37"/>
      <c r="P47" s="38"/>
      <c r="Q47" s="29">
        <f>IFERROR(VLOOKUP($A47,'[1]05'!$A$4:$BH$96,54,FALSE),0)</f>
        <v>0</v>
      </c>
      <c r="R47" s="37">
        <f>IFERROR(VLOOKUP($A47,'[1]05'!$A$4:$BH$96,55,FALSE),0)</f>
        <v>1</v>
      </c>
      <c r="S47" s="38">
        <f>IFERROR(VLOOKUP($A47,'[1]05'!$A$4:$BH$96,56,FALSE),0)</f>
        <v>0</v>
      </c>
      <c r="T47" s="29">
        <f>IFERROR(VLOOKUP($A47,'[1]06'!$A$4:$BK$96,54,FALSE),0)</f>
        <v>0</v>
      </c>
      <c r="U47" s="37">
        <f>IFERROR(VLOOKUP($A47,'[1]06'!$A$4:$BK$96,56,FALSE),0)</f>
        <v>0</v>
      </c>
      <c r="V47" s="38">
        <f>IFERROR(VLOOKUP($A47,'[1]06'!$A$4:$BK$96,58,FALSE),0)</f>
        <v>0</v>
      </c>
      <c r="W47" s="29">
        <f>IFERROR(VLOOKUP($A47,'[1]06'!$A$4:$BK$96,54,FALSE),0)</f>
        <v>0</v>
      </c>
      <c r="X47" s="37">
        <f>IFERROR(VLOOKUP($A47,'[1]06'!$A$4:$BK$96,56,FALSE),0)</f>
        <v>0</v>
      </c>
      <c r="Y47" s="38">
        <f>IFERROR(VLOOKUP($A47,'[1]06'!$A$4:$BK$96,58,FALSE),0)</f>
        <v>0</v>
      </c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36"/>
      <c r="AP47" s="37"/>
      <c r="AQ47" s="38"/>
      <c r="AR47" s="36"/>
      <c r="AS47" s="37"/>
      <c r="AT47" s="38"/>
      <c r="AU47" s="36"/>
      <c r="AV47" s="37"/>
      <c r="AW47" s="38"/>
      <c r="AX47" s="36"/>
      <c r="AY47" s="37"/>
      <c r="AZ47" s="38"/>
      <c r="BA47" s="36"/>
      <c r="BB47" s="37"/>
      <c r="BC47" s="38"/>
      <c r="BD47" s="36"/>
      <c r="BE47" s="37"/>
      <c r="BF47" s="38"/>
      <c r="BG47" s="36"/>
      <c r="BH47" s="37"/>
      <c r="BI47" s="38"/>
      <c r="BJ47" s="36"/>
      <c r="BK47" s="37"/>
      <c r="BL47" s="38"/>
      <c r="BM47" s="36"/>
      <c r="BN47" s="37"/>
      <c r="BO47" s="38"/>
      <c r="BP47" s="36"/>
      <c r="BQ47" s="37"/>
      <c r="BR47" s="38"/>
      <c r="BS47" s="36"/>
      <c r="BT47" s="37"/>
      <c r="BU47" s="38"/>
      <c r="BV47" s="36"/>
      <c r="BW47" s="37"/>
      <c r="BX47" s="38"/>
      <c r="BY47" s="36"/>
      <c r="BZ47" s="37"/>
      <c r="CA47" s="38"/>
      <c r="CB47" s="36"/>
      <c r="CC47" s="37"/>
      <c r="CD47" s="38"/>
      <c r="CE47" s="36"/>
      <c r="CF47" s="37"/>
      <c r="CG47" s="38"/>
      <c r="CH47" s="36"/>
      <c r="CI47" s="37"/>
      <c r="CJ47" s="38"/>
      <c r="CK47" s="36"/>
      <c r="CL47" s="37"/>
      <c r="CM47" s="38"/>
      <c r="CN47" s="36"/>
      <c r="CO47" s="37"/>
      <c r="CP47" s="38"/>
      <c r="CQ47" s="36"/>
      <c r="CR47" s="37"/>
      <c r="CS47" s="38"/>
      <c r="CT47" s="36"/>
      <c r="CU47" s="37"/>
      <c r="CV47" s="38"/>
      <c r="CW47" s="36"/>
      <c r="CX47" s="37"/>
      <c r="CY47" s="38"/>
      <c r="CZ47" s="36"/>
      <c r="DA47" s="37"/>
      <c r="DB47" s="38"/>
      <c r="DC47" s="36"/>
      <c r="DD47" s="37"/>
      <c r="DE47" s="38"/>
      <c r="DF47" s="36"/>
      <c r="DG47" s="37"/>
      <c r="DH47" s="38"/>
      <c r="DI47" s="36"/>
      <c r="DJ47" s="37"/>
      <c r="DK47" s="38"/>
      <c r="DL47" s="36"/>
      <c r="DM47" s="37"/>
      <c r="DN47" s="38"/>
      <c r="DO47" s="36"/>
      <c r="DP47" s="37"/>
      <c r="DQ47" s="38"/>
      <c r="DR47" s="36"/>
      <c r="DS47" s="37"/>
      <c r="DT47" s="38"/>
      <c r="DU47" s="36"/>
      <c r="DV47" s="37"/>
      <c r="DW47" s="38"/>
      <c r="DX47" s="36"/>
      <c r="DY47" s="37"/>
      <c r="DZ47" s="38"/>
      <c r="EA47" s="36"/>
      <c r="EB47" s="37"/>
      <c r="EC47" s="38"/>
      <c r="ED47" s="36"/>
      <c r="EE47" s="37"/>
      <c r="EF47" s="38"/>
      <c r="EG47" s="36"/>
      <c r="EH47" s="37"/>
      <c r="EI47" s="38"/>
      <c r="EJ47" s="36"/>
      <c r="EK47" s="37"/>
      <c r="EL47" s="38"/>
      <c r="EM47" s="36"/>
      <c r="EN47" s="37"/>
      <c r="EO47" s="38"/>
      <c r="EP47" s="36"/>
      <c r="EQ47" s="37"/>
      <c r="ER47" s="38"/>
      <c r="ES47" s="36"/>
      <c r="ET47" s="37"/>
      <c r="EU47" s="38"/>
      <c r="EV47" s="36"/>
      <c r="EW47" s="37"/>
      <c r="EX47" s="38"/>
      <c r="EY47" s="36"/>
      <c r="EZ47" s="37"/>
      <c r="FA47" s="38"/>
      <c r="FB47" s="36"/>
      <c r="FC47" s="37"/>
      <c r="FD47" s="38"/>
    </row>
    <row r="48" spans="1:160" x14ac:dyDescent="0.25">
      <c r="A48" s="32" t="s">
        <v>49</v>
      </c>
      <c r="B48" s="33">
        <f t="shared" si="2"/>
        <v>1</v>
      </c>
      <c r="C48" s="34">
        <f t="shared" si="2"/>
        <v>0</v>
      </c>
      <c r="D48" s="35">
        <f t="shared" si="2"/>
        <v>0</v>
      </c>
      <c r="E48" s="36">
        <v>0</v>
      </c>
      <c r="F48" s="37"/>
      <c r="G48" s="38"/>
      <c r="H48" s="36">
        <v>0</v>
      </c>
      <c r="I48" s="37"/>
      <c r="J48" s="38"/>
      <c r="K48" s="36">
        <v>0</v>
      </c>
      <c r="L48" s="37"/>
      <c r="M48" s="38"/>
      <c r="N48" s="36">
        <v>1</v>
      </c>
      <c r="O48" s="37"/>
      <c r="P48" s="38"/>
      <c r="Q48" s="29">
        <f>IFERROR(VLOOKUP($A48,'[1]05'!$A$4:$BH$96,54,FALSE),0)</f>
        <v>0</v>
      </c>
      <c r="R48" s="37">
        <f>IFERROR(VLOOKUP($A48,'[1]05'!$A$4:$BH$96,55,FALSE),0)</f>
        <v>0</v>
      </c>
      <c r="S48" s="38">
        <f>IFERROR(VLOOKUP($A48,'[1]05'!$A$4:$BH$96,56,FALSE),0)</f>
        <v>0</v>
      </c>
      <c r="T48" s="29">
        <f>IFERROR(VLOOKUP($A48,'[1]06'!$A$4:$BK$96,54,FALSE),0)</f>
        <v>0</v>
      </c>
      <c r="U48" s="37">
        <f>IFERROR(VLOOKUP($A48,'[1]06'!$A$4:$BK$96,56,FALSE),0)</f>
        <v>0</v>
      </c>
      <c r="V48" s="38">
        <f>IFERROR(VLOOKUP($A48,'[1]06'!$A$4:$BK$96,58,FALSE),0)</f>
        <v>0</v>
      </c>
      <c r="W48" s="29">
        <f>IFERROR(VLOOKUP($A48,'[1]06'!$A$4:$BK$96,54,FALSE),0)</f>
        <v>0</v>
      </c>
      <c r="X48" s="37">
        <f>IFERROR(VLOOKUP($A48,'[1]06'!$A$4:$BK$96,56,FALSE),0)</f>
        <v>0</v>
      </c>
      <c r="Y48" s="38">
        <f>IFERROR(VLOOKUP($A48,'[1]06'!$A$4:$BK$96,58,FALSE),0)</f>
        <v>0</v>
      </c>
      <c r="Z48" s="36"/>
      <c r="AA48" s="37"/>
      <c r="AB48" s="38"/>
      <c r="AC48" s="36"/>
      <c r="AD48" s="37"/>
      <c r="AE48" s="38"/>
      <c r="AF48" s="36"/>
      <c r="AG48" s="37"/>
      <c r="AH48" s="38"/>
      <c r="AI48" s="36"/>
      <c r="AJ48" s="37"/>
      <c r="AK48" s="38"/>
      <c r="AL48" s="36"/>
      <c r="AM48" s="37"/>
      <c r="AN48" s="38"/>
      <c r="AO48" s="36"/>
      <c r="AP48" s="37"/>
      <c r="AQ48" s="38"/>
      <c r="AR48" s="36"/>
      <c r="AS48" s="37"/>
      <c r="AT48" s="38"/>
      <c r="AU48" s="36"/>
      <c r="AV48" s="37"/>
      <c r="AW48" s="38"/>
      <c r="AX48" s="36"/>
      <c r="AY48" s="37"/>
      <c r="AZ48" s="38"/>
      <c r="BA48" s="36"/>
      <c r="BB48" s="37"/>
      <c r="BC48" s="38"/>
      <c r="BD48" s="36"/>
      <c r="BE48" s="37"/>
      <c r="BF48" s="38"/>
      <c r="BG48" s="36"/>
      <c r="BH48" s="37"/>
      <c r="BI48" s="38"/>
      <c r="BJ48" s="36"/>
      <c r="BK48" s="37"/>
      <c r="BL48" s="38"/>
      <c r="BM48" s="36"/>
      <c r="BN48" s="37"/>
      <c r="BO48" s="38"/>
      <c r="BP48" s="36"/>
      <c r="BQ48" s="37"/>
      <c r="BR48" s="38"/>
      <c r="BS48" s="36"/>
      <c r="BT48" s="37"/>
      <c r="BU48" s="38"/>
      <c r="BV48" s="36"/>
      <c r="BW48" s="37"/>
      <c r="BX48" s="38"/>
      <c r="BY48" s="36"/>
      <c r="BZ48" s="37"/>
      <c r="CA48" s="38"/>
      <c r="CB48" s="36"/>
      <c r="CC48" s="37"/>
      <c r="CD48" s="38"/>
      <c r="CE48" s="36"/>
      <c r="CF48" s="37"/>
      <c r="CG48" s="38"/>
      <c r="CH48" s="36"/>
      <c r="CI48" s="37"/>
      <c r="CJ48" s="38"/>
      <c r="CK48" s="36"/>
      <c r="CL48" s="37"/>
      <c r="CM48" s="38"/>
      <c r="CN48" s="36"/>
      <c r="CO48" s="37"/>
      <c r="CP48" s="38"/>
      <c r="CQ48" s="36"/>
      <c r="CR48" s="37"/>
      <c r="CS48" s="38"/>
      <c r="CT48" s="36"/>
      <c r="CU48" s="37"/>
      <c r="CV48" s="38"/>
      <c r="CW48" s="36"/>
      <c r="CX48" s="37"/>
      <c r="CY48" s="38"/>
      <c r="CZ48" s="36"/>
      <c r="DA48" s="37"/>
      <c r="DB48" s="38"/>
      <c r="DC48" s="36"/>
      <c r="DD48" s="37"/>
      <c r="DE48" s="38"/>
      <c r="DF48" s="36"/>
      <c r="DG48" s="37"/>
      <c r="DH48" s="38"/>
      <c r="DI48" s="36"/>
      <c r="DJ48" s="37"/>
      <c r="DK48" s="38"/>
      <c r="DL48" s="36"/>
      <c r="DM48" s="37"/>
      <c r="DN48" s="38"/>
      <c r="DO48" s="36"/>
      <c r="DP48" s="37"/>
      <c r="DQ48" s="38"/>
      <c r="DR48" s="36"/>
      <c r="DS48" s="37"/>
      <c r="DT48" s="38"/>
      <c r="DU48" s="36"/>
      <c r="DV48" s="37"/>
      <c r="DW48" s="38"/>
      <c r="DX48" s="36"/>
      <c r="DY48" s="37"/>
      <c r="DZ48" s="38"/>
      <c r="EA48" s="36"/>
      <c r="EB48" s="37"/>
      <c r="EC48" s="38"/>
      <c r="ED48" s="36"/>
      <c r="EE48" s="37"/>
      <c r="EF48" s="38"/>
      <c r="EG48" s="36"/>
      <c r="EH48" s="37"/>
      <c r="EI48" s="38"/>
      <c r="EJ48" s="36"/>
      <c r="EK48" s="37"/>
      <c r="EL48" s="38"/>
      <c r="EM48" s="36"/>
      <c r="EN48" s="37"/>
      <c r="EO48" s="38"/>
      <c r="EP48" s="36"/>
      <c r="EQ48" s="37"/>
      <c r="ER48" s="38"/>
      <c r="ES48" s="36"/>
      <c r="ET48" s="37"/>
      <c r="EU48" s="38"/>
      <c r="EV48" s="36"/>
      <c r="EW48" s="37"/>
      <c r="EX48" s="38"/>
      <c r="EY48" s="36"/>
      <c r="EZ48" s="37"/>
      <c r="FA48" s="38"/>
      <c r="FB48" s="36"/>
      <c r="FC48" s="37"/>
      <c r="FD48" s="38"/>
    </row>
    <row r="49" spans="1:160" x14ac:dyDescent="0.25">
      <c r="A49" s="32" t="s">
        <v>22</v>
      </c>
      <c r="B49" s="33">
        <f t="shared" si="2"/>
        <v>1</v>
      </c>
      <c r="C49" s="34">
        <f t="shared" si="2"/>
        <v>1</v>
      </c>
      <c r="D49" s="35">
        <f t="shared" si="2"/>
        <v>0</v>
      </c>
      <c r="E49" s="36">
        <v>0</v>
      </c>
      <c r="F49" s="37"/>
      <c r="G49" s="38"/>
      <c r="H49" s="36">
        <v>0</v>
      </c>
      <c r="I49" s="37"/>
      <c r="J49" s="38"/>
      <c r="K49" s="36">
        <v>1</v>
      </c>
      <c r="L49" s="37"/>
      <c r="M49" s="38"/>
      <c r="N49" s="36">
        <v>0</v>
      </c>
      <c r="O49" s="37"/>
      <c r="P49" s="38"/>
      <c r="Q49" s="29">
        <f>IFERROR(VLOOKUP($A49,'[1]05'!$A$4:$BH$96,54,FALSE),0)</f>
        <v>0</v>
      </c>
      <c r="R49" s="37">
        <f>IFERROR(VLOOKUP($A49,'[1]05'!$A$4:$BH$96,55,FALSE),0)</f>
        <v>1</v>
      </c>
      <c r="S49" s="38">
        <f>IFERROR(VLOOKUP($A49,'[1]05'!$A$4:$BH$96,56,FALSE),0)</f>
        <v>0</v>
      </c>
      <c r="T49" s="29">
        <f>IFERROR(VLOOKUP($A49,'[1]06'!$A$4:$BK$96,54,FALSE),0)</f>
        <v>0</v>
      </c>
      <c r="U49" s="37">
        <f>IFERROR(VLOOKUP($A49,'[1]06'!$A$4:$BK$96,56,FALSE),0)</f>
        <v>0</v>
      </c>
      <c r="V49" s="38">
        <f>IFERROR(VLOOKUP($A49,'[1]06'!$A$4:$BK$96,58,FALSE),0)</f>
        <v>0</v>
      </c>
      <c r="W49" s="29">
        <f>IFERROR(VLOOKUP($A49,'[1]06'!$A$4:$BK$96,54,FALSE),0)</f>
        <v>0</v>
      </c>
      <c r="X49" s="37">
        <f>IFERROR(VLOOKUP($A49,'[1]06'!$A$4:$BK$96,56,FALSE),0)</f>
        <v>0</v>
      </c>
      <c r="Y49" s="38">
        <f>IFERROR(VLOOKUP($A49,'[1]06'!$A$4:$BK$96,58,FALSE),0)</f>
        <v>0</v>
      </c>
      <c r="Z49" s="36"/>
      <c r="AA49" s="37"/>
      <c r="AB49" s="38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36"/>
      <c r="AP49" s="37"/>
      <c r="AQ49" s="38"/>
      <c r="AR49" s="36"/>
      <c r="AS49" s="37"/>
      <c r="AT49" s="38"/>
      <c r="AU49" s="36"/>
      <c r="AV49" s="37"/>
      <c r="AW49" s="38"/>
      <c r="AX49" s="36"/>
      <c r="AY49" s="37"/>
      <c r="AZ49" s="38"/>
      <c r="BA49" s="36"/>
      <c r="BB49" s="37"/>
      <c r="BC49" s="38"/>
      <c r="BD49" s="36"/>
      <c r="BE49" s="37"/>
      <c r="BF49" s="38"/>
      <c r="BG49" s="36"/>
      <c r="BH49" s="37"/>
      <c r="BI49" s="38"/>
      <c r="BJ49" s="36"/>
      <c r="BK49" s="37"/>
      <c r="BL49" s="38"/>
      <c r="BM49" s="36"/>
      <c r="BN49" s="37"/>
      <c r="BO49" s="38"/>
      <c r="BP49" s="36"/>
      <c r="BQ49" s="37"/>
      <c r="BR49" s="38"/>
      <c r="BS49" s="36"/>
      <c r="BT49" s="37"/>
      <c r="BU49" s="38"/>
      <c r="BV49" s="36"/>
      <c r="BW49" s="37"/>
      <c r="BX49" s="38"/>
      <c r="BY49" s="36"/>
      <c r="BZ49" s="37"/>
      <c r="CA49" s="38"/>
      <c r="CB49" s="36"/>
      <c r="CC49" s="37"/>
      <c r="CD49" s="38"/>
      <c r="CE49" s="36"/>
      <c r="CF49" s="37"/>
      <c r="CG49" s="38"/>
      <c r="CH49" s="36"/>
      <c r="CI49" s="37"/>
      <c r="CJ49" s="38"/>
      <c r="CK49" s="36"/>
      <c r="CL49" s="37"/>
      <c r="CM49" s="38"/>
      <c r="CN49" s="36"/>
      <c r="CO49" s="37"/>
      <c r="CP49" s="38"/>
      <c r="CQ49" s="36"/>
      <c r="CR49" s="37"/>
      <c r="CS49" s="38"/>
      <c r="CT49" s="36"/>
      <c r="CU49" s="37"/>
      <c r="CV49" s="38"/>
      <c r="CW49" s="36"/>
      <c r="CX49" s="37"/>
      <c r="CY49" s="38"/>
      <c r="CZ49" s="36"/>
      <c r="DA49" s="37"/>
      <c r="DB49" s="38"/>
      <c r="DC49" s="36"/>
      <c r="DD49" s="37"/>
      <c r="DE49" s="38"/>
      <c r="DF49" s="36"/>
      <c r="DG49" s="37"/>
      <c r="DH49" s="38"/>
      <c r="DI49" s="36"/>
      <c r="DJ49" s="37"/>
      <c r="DK49" s="38"/>
      <c r="DL49" s="36"/>
      <c r="DM49" s="37"/>
      <c r="DN49" s="38"/>
      <c r="DO49" s="36"/>
      <c r="DP49" s="37"/>
      <c r="DQ49" s="38"/>
      <c r="DR49" s="36"/>
      <c r="DS49" s="37"/>
      <c r="DT49" s="38"/>
      <c r="DU49" s="36"/>
      <c r="DV49" s="37"/>
      <c r="DW49" s="38"/>
      <c r="DX49" s="36"/>
      <c r="DY49" s="37"/>
      <c r="DZ49" s="38"/>
      <c r="EA49" s="36"/>
      <c r="EB49" s="37"/>
      <c r="EC49" s="38"/>
      <c r="ED49" s="36"/>
      <c r="EE49" s="37"/>
      <c r="EF49" s="38"/>
      <c r="EG49" s="36"/>
      <c r="EH49" s="37"/>
      <c r="EI49" s="38"/>
      <c r="EJ49" s="36"/>
      <c r="EK49" s="37"/>
      <c r="EL49" s="38"/>
      <c r="EM49" s="36"/>
      <c r="EN49" s="37"/>
      <c r="EO49" s="38"/>
      <c r="EP49" s="36"/>
      <c r="EQ49" s="37"/>
      <c r="ER49" s="38"/>
      <c r="ES49" s="36"/>
      <c r="ET49" s="37"/>
      <c r="EU49" s="38"/>
      <c r="EV49" s="36"/>
      <c r="EW49" s="37"/>
      <c r="EX49" s="38"/>
      <c r="EY49" s="36"/>
      <c r="EZ49" s="37"/>
      <c r="FA49" s="38"/>
      <c r="FB49" s="36"/>
      <c r="FC49" s="37"/>
      <c r="FD49" s="38"/>
    </row>
    <row r="50" spans="1:160" x14ac:dyDescent="0.25">
      <c r="A50" s="32" t="s">
        <v>11</v>
      </c>
      <c r="B50" s="33">
        <f t="shared" si="2"/>
        <v>5</v>
      </c>
      <c r="C50" s="34">
        <f t="shared" si="2"/>
        <v>1</v>
      </c>
      <c r="D50" s="35">
        <f t="shared" si="2"/>
        <v>0</v>
      </c>
      <c r="E50" s="36">
        <v>0</v>
      </c>
      <c r="F50" s="37"/>
      <c r="G50" s="38"/>
      <c r="H50" s="36">
        <v>2</v>
      </c>
      <c r="I50" s="37"/>
      <c r="J50" s="38"/>
      <c r="K50" s="36">
        <v>0</v>
      </c>
      <c r="L50" s="37"/>
      <c r="M50" s="38"/>
      <c r="N50" s="36">
        <v>1</v>
      </c>
      <c r="O50" s="37"/>
      <c r="P50" s="38"/>
      <c r="Q50" s="29">
        <f>IFERROR(VLOOKUP($A50,'[1]05'!$A$4:$BH$96,54,FALSE),0)</f>
        <v>2</v>
      </c>
      <c r="R50" s="37">
        <f>IFERROR(VLOOKUP($A50,'[1]05'!$A$4:$BH$96,55,FALSE),0)</f>
        <v>1</v>
      </c>
      <c r="S50" s="38">
        <f>IFERROR(VLOOKUP($A50,'[1]05'!$A$4:$BH$96,56,FALSE),0)</f>
        <v>0</v>
      </c>
      <c r="T50" s="29">
        <f>IFERROR(VLOOKUP($A50,'[1]06'!$A$4:$BK$96,54,FALSE),0)</f>
        <v>0</v>
      </c>
      <c r="U50" s="37">
        <f>IFERROR(VLOOKUP($A50,'[1]06'!$A$4:$BK$96,56,FALSE),0)</f>
        <v>0</v>
      </c>
      <c r="V50" s="38">
        <f>IFERROR(VLOOKUP($A50,'[1]06'!$A$4:$BK$96,58,FALSE),0)</f>
        <v>0</v>
      </c>
      <c r="W50" s="29">
        <f>IFERROR(VLOOKUP($A50,'[1]06'!$A$4:$BK$96,54,FALSE),0)</f>
        <v>0</v>
      </c>
      <c r="X50" s="37">
        <f>IFERROR(VLOOKUP($A50,'[1]06'!$A$4:$BK$96,56,FALSE),0)</f>
        <v>0</v>
      </c>
      <c r="Y50" s="38">
        <f>IFERROR(VLOOKUP($A50,'[1]06'!$A$4:$BK$96,58,FALSE),0)</f>
        <v>0</v>
      </c>
      <c r="Z50" s="36"/>
      <c r="AA50" s="37"/>
      <c r="AB50" s="38"/>
      <c r="AC50" s="36"/>
      <c r="AD50" s="37"/>
      <c r="AE50" s="38"/>
      <c r="AF50" s="36"/>
      <c r="AG50" s="37"/>
      <c r="AH50" s="38"/>
      <c r="AI50" s="36"/>
      <c r="AJ50" s="37"/>
      <c r="AK50" s="38"/>
      <c r="AL50" s="36"/>
      <c r="AM50" s="37"/>
      <c r="AN50" s="38"/>
      <c r="AO50" s="36"/>
      <c r="AP50" s="37"/>
      <c r="AQ50" s="38"/>
      <c r="AR50" s="36"/>
      <c r="AS50" s="37"/>
      <c r="AT50" s="38"/>
      <c r="AU50" s="36"/>
      <c r="AV50" s="37"/>
      <c r="AW50" s="38"/>
      <c r="AX50" s="36"/>
      <c r="AY50" s="37"/>
      <c r="AZ50" s="38"/>
      <c r="BA50" s="36"/>
      <c r="BB50" s="37"/>
      <c r="BC50" s="38"/>
      <c r="BD50" s="36"/>
      <c r="BE50" s="37"/>
      <c r="BF50" s="38"/>
      <c r="BG50" s="36"/>
      <c r="BH50" s="37"/>
      <c r="BI50" s="38"/>
      <c r="BJ50" s="36"/>
      <c r="BK50" s="37"/>
      <c r="BL50" s="38"/>
      <c r="BM50" s="36"/>
      <c r="BN50" s="37"/>
      <c r="BO50" s="38"/>
      <c r="BP50" s="36"/>
      <c r="BQ50" s="37"/>
      <c r="BR50" s="38"/>
      <c r="BS50" s="36"/>
      <c r="BT50" s="37"/>
      <c r="BU50" s="38"/>
      <c r="BV50" s="36"/>
      <c r="BW50" s="37"/>
      <c r="BX50" s="38"/>
      <c r="BY50" s="36"/>
      <c r="BZ50" s="37"/>
      <c r="CA50" s="38"/>
      <c r="CB50" s="36"/>
      <c r="CC50" s="37"/>
      <c r="CD50" s="38"/>
      <c r="CE50" s="36"/>
      <c r="CF50" s="37"/>
      <c r="CG50" s="38"/>
      <c r="CH50" s="36"/>
      <c r="CI50" s="37"/>
      <c r="CJ50" s="38"/>
      <c r="CK50" s="36"/>
      <c r="CL50" s="37"/>
      <c r="CM50" s="38"/>
      <c r="CN50" s="36"/>
      <c r="CO50" s="37"/>
      <c r="CP50" s="38"/>
      <c r="CQ50" s="36"/>
      <c r="CR50" s="37"/>
      <c r="CS50" s="38"/>
      <c r="CT50" s="36"/>
      <c r="CU50" s="37"/>
      <c r="CV50" s="38"/>
      <c r="CW50" s="36"/>
      <c r="CX50" s="37"/>
      <c r="CY50" s="38"/>
      <c r="CZ50" s="36"/>
      <c r="DA50" s="37"/>
      <c r="DB50" s="38"/>
      <c r="DC50" s="36"/>
      <c r="DD50" s="37"/>
      <c r="DE50" s="38"/>
      <c r="DF50" s="36"/>
      <c r="DG50" s="37"/>
      <c r="DH50" s="38"/>
      <c r="DI50" s="36"/>
      <c r="DJ50" s="37"/>
      <c r="DK50" s="38"/>
      <c r="DL50" s="36"/>
      <c r="DM50" s="37"/>
      <c r="DN50" s="38"/>
      <c r="DO50" s="36"/>
      <c r="DP50" s="37"/>
      <c r="DQ50" s="38"/>
      <c r="DR50" s="36"/>
      <c r="DS50" s="37"/>
      <c r="DT50" s="38"/>
      <c r="DU50" s="36"/>
      <c r="DV50" s="37"/>
      <c r="DW50" s="38"/>
      <c r="DX50" s="36"/>
      <c r="DY50" s="37"/>
      <c r="DZ50" s="38"/>
      <c r="EA50" s="36"/>
      <c r="EB50" s="37"/>
      <c r="EC50" s="38"/>
      <c r="ED50" s="36"/>
      <c r="EE50" s="37"/>
      <c r="EF50" s="38"/>
      <c r="EG50" s="36"/>
      <c r="EH50" s="37"/>
      <c r="EI50" s="38"/>
      <c r="EJ50" s="36"/>
      <c r="EK50" s="37"/>
      <c r="EL50" s="38"/>
      <c r="EM50" s="36"/>
      <c r="EN50" s="37"/>
      <c r="EO50" s="38"/>
      <c r="EP50" s="36"/>
      <c r="EQ50" s="37"/>
      <c r="ER50" s="38"/>
      <c r="ES50" s="36"/>
      <c r="ET50" s="37"/>
      <c r="EU50" s="38"/>
      <c r="EV50" s="36"/>
      <c r="EW50" s="37"/>
      <c r="EX50" s="38"/>
      <c r="EY50" s="36"/>
      <c r="EZ50" s="37"/>
      <c r="FA50" s="38"/>
      <c r="FB50" s="36"/>
      <c r="FC50" s="37"/>
      <c r="FD50" s="38"/>
    </row>
    <row r="51" spans="1:160" x14ac:dyDescent="0.25">
      <c r="A51" s="32" t="s">
        <v>77</v>
      </c>
      <c r="B51" s="33">
        <f t="shared" si="2"/>
        <v>4</v>
      </c>
      <c r="C51" s="34">
        <f t="shared" si="2"/>
        <v>0</v>
      </c>
      <c r="D51" s="35">
        <f t="shared" si="2"/>
        <v>0</v>
      </c>
      <c r="E51" s="36">
        <v>0</v>
      </c>
      <c r="F51" s="37"/>
      <c r="G51" s="38"/>
      <c r="H51" s="36">
        <v>1</v>
      </c>
      <c r="I51" s="37"/>
      <c r="J51" s="38"/>
      <c r="K51" s="36">
        <v>2</v>
      </c>
      <c r="L51" s="37"/>
      <c r="M51" s="38"/>
      <c r="N51" s="36">
        <v>1</v>
      </c>
      <c r="O51" s="37"/>
      <c r="P51" s="38"/>
      <c r="Q51" s="29">
        <f>IFERROR(VLOOKUP($A51,'[1]05'!$A$4:$BH$96,54,FALSE),0)</f>
        <v>0</v>
      </c>
      <c r="R51" s="37">
        <f>IFERROR(VLOOKUP($A51,'[1]05'!$A$4:$BH$96,55,FALSE),0)</f>
        <v>0</v>
      </c>
      <c r="S51" s="38">
        <f>IFERROR(VLOOKUP($A51,'[1]05'!$A$4:$BH$96,56,FALSE),0)</f>
        <v>0</v>
      </c>
      <c r="T51" s="29">
        <f>IFERROR(VLOOKUP($A51,'[1]06'!$A$4:$BK$96,54,FALSE),0)</f>
        <v>0</v>
      </c>
      <c r="U51" s="37">
        <f>IFERROR(VLOOKUP($A51,'[1]06'!$A$4:$BK$96,56,FALSE),0)</f>
        <v>0</v>
      </c>
      <c r="V51" s="38">
        <f>IFERROR(VLOOKUP($A51,'[1]06'!$A$4:$BK$96,58,FALSE),0)</f>
        <v>0</v>
      </c>
      <c r="W51" s="29">
        <f>IFERROR(VLOOKUP($A51,'[1]06'!$A$4:$BK$96,54,FALSE),0)</f>
        <v>0</v>
      </c>
      <c r="X51" s="37">
        <f>IFERROR(VLOOKUP($A51,'[1]06'!$A$4:$BK$96,56,FALSE),0)</f>
        <v>0</v>
      </c>
      <c r="Y51" s="38">
        <f>IFERROR(VLOOKUP($A51,'[1]06'!$A$4:$BK$96,58,FALSE),0)</f>
        <v>0</v>
      </c>
      <c r="Z51" s="36"/>
      <c r="AA51" s="37"/>
      <c r="AB51" s="38"/>
      <c r="AC51" s="36"/>
      <c r="AD51" s="37"/>
      <c r="AE51" s="38"/>
      <c r="AF51" s="36"/>
      <c r="AG51" s="37"/>
      <c r="AH51" s="38"/>
      <c r="AI51" s="36"/>
      <c r="AJ51" s="37"/>
      <c r="AK51" s="38"/>
      <c r="AL51" s="36"/>
      <c r="AM51" s="37"/>
      <c r="AN51" s="38"/>
      <c r="AO51" s="36"/>
      <c r="AP51" s="37"/>
      <c r="AQ51" s="38"/>
      <c r="AR51" s="36"/>
      <c r="AS51" s="37"/>
      <c r="AT51" s="38"/>
      <c r="AU51" s="36"/>
      <c r="AV51" s="37"/>
      <c r="AW51" s="38"/>
      <c r="AX51" s="36"/>
      <c r="AY51" s="37"/>
      <c r="AZ51" s="38"/>
      <c r="BA51" s="36"/>
      <c r="BB51" s="37"/>
      <c r="BC51" s="38"/>
      <c r="BD51" s="36"/>
      <c r="BE51" s="37"/>
      <c r="BF51" s="38"/>
      <c r="BG51" s="36"/>
      <c r="BH51" s="37"/>
      <c r="BI51" s="38"/>
      <c r="BJ51" s="36"/>
      <c r="BK51" s="37"/>
      <c r="BL51" s="38"/>
      <c r="BM51" s="36"/>
      <c r="BN51" s="37"/>
      <c r="BO51" s="38"/>
      <c r="BP51" s="36"/>
      <c r="BQ51" s="37"/>
      <c r="BR51" s="38"/>
      <c r="BS51" s="36"/>
      <c r="BT51" s="37"/>
      <c r="BU51" s="38"/>
      <c r="BV51" s="36"/>
      <c r="BW51" s="37"/>
      <c r="BX51" s="38"/>
      <c r="BY51" s="36"/>
      <c r="BZ51" s="37"/>
      <c r="CA51" s="38"/>
      <c r="CB51" s="36"/>
      <c r="CC51" s="37"/>
      <c r="CD51" s="38"/>
      <c r="CE51" s="36"/>
      <c r="CF51" s="37"/>
      <c r="CG51" s="38"/>
      <c r="CH51" s="36"/>
      <c r="CI51" s="37"/>
      <c r="CJ51" s="38"/>
      <c r="CK51" s="36"/>
      <c r="CL51" s="37"/>
      <c r="CM51" s="38"/>
      <c r="CN51" s="36"/>
      <c r="CO51" s="37"/>
      <c r="CP51" s="38"/>
      <c r="CQ51" s="36"/>
      <c r="CR51" s="37"/>
      <c r="CS51" s="38"/>
      <c r="CT51" s="36"/>
      <c r="CU51" s="37"/>
      <c r="CV51" s="38"/>
      <c r="CW51" s="36"/>
      <c r="CX51" s="37"/>
      <c r="CY51" s="38"/>
      <c r="CZ51" s="36"/>
      <c r="DA51" s="37"/>
      <c r="DB51" s="38"/>
      <c r="DC51" s="36"/>
      <c r="DD51" s="37"/>
      <c r="DE51" s="38"/>
      <c r="DF51" s="36"/>
      <c r="DG51" s="37"/>
      <c r="DH51" s="38"/>
      <c r="DI51" s="36"/>
      <c r="DJ51" s="37"/>
      <c r="DK51" s="38"/>
      <c r="DL51" s="36"/>
      <c r="DM51" s="37"/>
      <c r="DN51" s="38"/>
      <c r="DO51" s="36"/>
      <c r="DP51" s="37"/>
      <c r="DQ51" s="38"/>
      <c r="DR51" s="36"/>
      <c r="DS51" s="37"/>
      <c r="DT51" s="38"/>
      <c r="DU51" s="36"/>
      <c r="DV51" s="37"/>
      <c r="DW51" s="38"/>
      <c r="DX51" s="36"/>
      <c r="DY51" s="37"/>
      <c r="DZ51" s="38"/>
      <c r="EA51" s="36"/>
      <c r="EB51" s="37"/>
      <c r="EC51" s="38"/>
      <c r="ED51" s="36"/>
      <c r="EE51" s="37"/>
      <c r="EF51" s="38"/>
      <c r="EG51" s="36"/>
      <c r="EH51" s="37"/>
      <c r="EI51" s="38"/>
      <c r="EJ51" s="36"/>
      <c r="EK51" s="37"/>
      <c r="EL51" s="38"/>
      <c r="EM51" s="36"/>
      <c r="EN51" s="37"/>
      <c r="EO51" s="38"/>
      <c r="EP51" s="36"/>
      <c r="EQ51" s="37"/>
      <c r="ER51" s="38"/>
      <c r="ES51" s="36"/>
      <c r="ET51" s="37"/>
      <c r="EU51" s="38"/>
      <c r="EV51" s="36"/>
      <c r="EW51" s="37"/>
      <c r="EX51" s="38"/>
      <c r="EY51" s="36"/>
      <c r="EZ51" s="37"/>
      <c r="FA51" s="38"/>
      <c r="FB51" s="36"/>
      <c r="FC51" s="37"/>
      <c r="FD51" s="38"/>
    </row>
    <row r="52" spans="1:160" x14ac:dyDescent="0.25">
      <c r="A52" s="32" t="s">
        <v>78</v>
      </c>
      <c r="B52" s="33">
        <f t="shared" si="2"/>
        <v>5</v>
      </c>
      <c r="C52" s="34">
        <f t="shared" si="2"/>
        <v>0</v>
      </c>
      <c r="D52" s="35">
        <f t="shared" si="2"/>
        <v>0</v>
      </c>
      <c r="E52" s="36">
        <v>0</v>
      </c>
      <c r="F52" s="37"/>
      <c r="G52" s="38"/>
      <c r="H52" s="36">
        <v>4</v>
      </c>
      <c r="I52" s="37"/>
      <c r="J52" s="38"/>
      <c r="K52" s="36">
        <v>1</v>
      </c>
      <c r="L52" s="37"/>
      <c r="M52" s="38"/>
      <c r="N52" s="36">
        <v>0</v>
      </c>
      <c r="O52" s="37"/>
      <c r="P52" s="38"/>
      <c r="Q52" s="29">
        <f>IFERROR(VLOOKUP($A52,'[1]05'!$A$4:$BH$96,54,FALSE),0)</f>
        <v>0</v>
      </c>
      <c r="R52" s="37">
        <f>IFERROR(VLOOKUP($A52,'[1]05'!$A$4:$BH$96,55,FALSE),0)</f>
        <v>0</v>
      </c>
      <c r="S52" s="38">
        <f>IFERROR(VLOOKUP($A52,'[1]05'!$A$4:$BH$96,56,FALSE),0)</f>
        <v>0</v>
      </c>
      <c r="T52" s="29">
        <f>IFERROR(VLOOKUP($A52,'[1]06'!$A$4:$BK$96,54,FALSE),0)</f>
        <v>0</v>
      </c>
      <c r="U52" s="37">
        <f>IFERROR(VLOOKUP($A52,'[1]06'!$A$4:$BK$96,56,FALSE),0)</f>
        <v>0</v>
      </c>
      <c r="V52" s="38">
        <f>IFERROR(VLOOKUP($A52,'[1]06'!$A$4:$BK$96,58,FALSE),0)</f>
        <v>0</v>
      </c>
      <c r="W52" s="29">
        <f>IFERROR(VLOOKUP($A52,'[1]06'!$A$4:$BK$96,54,FALSE),0)</f>
        <v>0</v>
      </c>
      <c r="X52" s="37">
        <f>IFERROR(VLOOKUP($A52,'[1]06'!$A$4:$BK$96,56,FALSE),0)</f>
        <v>0</v>
      </c>
      <c r="Y52" s="38">
        <f>IFERROR(VLOOKUP($A52,'[1]06'!$A$4:$BK$96,58,FALSE),0)</f>
        <v>0</v>
      </c>
      <c r="Z52" s="36"/>
      <c r="AA52" s="37"/>
      <c r="AB52" s="38"/>
      <c r="AC52" s="36"/>
      <c r="AD52" s="37"/>
      <c r="AE52" s="38"/>
      <c r="AF52" s="36"/>
      <c r="AG52" s="37"/>
      <c r="AH52" s="38"/>
      <c r="AI52" s="36"/>
      <c r="AJ52" s="37"/>
      <c r="AK52" s="38"/>
      <c r="AL52" s="36"/>
      <c r="AM52" s="37"/>
      <c r="AN52" s="38"/>
      <c r="AO52" s="36"/>
      <c r="AP52" s="37"/>
      <c r="AQ52" s="38"/>
      <c r="AR52" s="36"/>
      <c r="AS52" s="37"/>
      <c r="AT52" s="38"/>
      <c r="AU52" s="36"/>
      <c r="AV52" s="37"/>
      <c r="AW52" s="38"/>
      <c r="AX52" s="36"/>
      <c r="AY52" s="37"/>
      <c r="AZ52" s="38"/>
      <c r="BA52" s="36"/>
      <c r="BB52" s="37"/>
      <c r="BC52" s="38"/>
      <c r="BD52" s="36"/>
      <c r="BE52" s="37"/>
      <c r="BF52" s="38"/>
      <c r="BG52" s="36"/>
      <c r="BH52" s="37"/>
      <c r="BI52" s="38"/>
      <c r="BJ52" s="36"/>
      <c r="BK52" s="37"/>
      <c r="BL52" s="38"/>
      <c r="BM52" s="36"/>
      <c r="BN52" s="37"/>
      <c r="BO52" s="38"/>
      <c r="BP52" s="36"/>
      <c r="BQ52" s="37"/>
      <c r="BR52" s="38"/>
      <c r="BS52" s="36"/>
      <c r="BT52" s="37"/>
      <c r="BU52" s="38"/>
      <c r="BV52" s="36"/>
      <c r="BW52" s="37"/>
      <c r="BX52" s="38"/>
      <c r="BY52" s="36"/>
      <c r="BZ52" s="37"/>
      <c r="CA52" s="38"/>
      <c r="CB52" s="36"/>
      <c r="CC52" s="37"/>
      <c r="CD52" s="38"/>
      <c r="CE52" s="36"/>
      <c r="CF52" s="37"/>
      <c r="CG52" s="38"/>
      <c r="CH52" s="36"/>
      <c r="CI52" s="37"/>
      <c r="CJ52" s="38"/>
      <c r="CK52" s="36"/>
      <c r="CL52" s="37"/>
      <c r="CM52" s="38"/>
      <c r="CN52" s="36"/>
      <c r="CO52" s="37"/>
      <c r="CP52" s="38"/>
      <c r="CQ52" s="36"/>
      <c r="CR52" s="37"/>
      <c r="CS52" s="38"/>
      <c r="CT52" s="36"/>
      <c r="CU52" s="37"/>
      <c r="CV52" s="38"/>
      <c r="CW52" s="36"/>
      <c r="CX52" s="37"/>
      <c r="CY52" s="38"/>
      <c r="CZ52" s="36"/>
      <c r="DA52" s="37"/>
      <c r="DB52" s="38"/>
      <c r="DC52" s="36"/>
      <c r="DD52" s="37"/>
      <c r="DE52" s="38"/>
      <c r="DF52" s="36"/>
      <c r="DG52" s="37"/>
      <c r="DH52" s="38"/>
      <c r="DI52" s="36"/>
      <c r="DJ52" s="37"/>
      <c r="DK52" s="38"/>
      <c r="DL52" s="36"/>
      <c r="DM52" s="37"/>
      <c r="DN52" s="38"/>
      <c r="DO52" s="36"/>
      <c r="DP52" s="37"/>
      <c r="DQ52" s="38"/>
      <c r="DR52" s="36"/>
      <c r="DS52" s="37"/>
      <c r="DT52" s="38"/>
      <c r="DU52" s="36"/>
      <c r="DV52" s="37"/>
      <c r="DW52" s="38"/>
      <c r="DX52" s="36"/>
      <c r="DY52" s="37"/>
      <c r="DZ52" s="38"/>
      <c r="EA52" s="36"/>
      <c r="EB52" s="37"/>
      <c r="EC52" s="38"/>
      <c r="ED52" s="36"/>
      <c r="EE52" s="37"/>
      <c r="EF52" s="38"/>
      <c r="EG52" s="36"/>
      <c r="EH52" s="37"/>
      <c r="EI52" s="38"/>
      <c r="EJ52" s="36"/>
      <c r="EK52" s="37"/>
      <c r="EL52" s="38"/>
      <c r="EM52" s="36"/>
      <c r="EN52" s="37"/>
      <c r="EO52" s="38"/>
      <c r="EP52" s="36"/>
      <c r="EQ52" s="37"/>
      <c r="ER52" s="38"/>
      <c r="ES52" s="36"/>
      <c r="ET52" s="37"/>
      <c r="EU52" s="38"/>
      <c r="EV52" s="36"/>
      <c r="EW52" s="37"/>
      <c r="EX52" s="38"/>
      <c r="EY52" s="36"/>
      <c r="EZ52" s="37"/>
      <c r="FA52" s="38"/>
      <c r="FB52" s="36"/>
      <c r="FC52" s="37"/>
      <c r="FD52" s="38"/>
    </row>
    <row r="53" spans="1:160" x14ac:dyDescent="0.25">
      <c r="A53" s="32" t="s">
        <v>79</v>
      </c>
      <c r="B53" s="33">
        <f t="shared" si="2"/>
        <v>1</v>
      </c>
      <c r="C53" s="34">
        <f t="shared" si="2"/>
        <v>0</v>
      </c>
      <c r="D53" s="35">
        <f t="shared" si="2"/>
        <v>0</v>
      </c>
      <c r="E53" s="36">
        <v>0</v>
      </c>
      <c r="F53" s="37"/>
      <c r="G53" s="38"/>
      <c r="H53" s="36">
        <v>0</v>
      </c>
      <c r="I53" s="37"/>
      <c r="J53" s="38"/>
      <c r="K53" s="36">
        <v>0</v>
      </c>
      <c r="L53" s="37"/>
      <c r="M53" s="38"/>
      <c r="N53" s="36">
        <v>1</v>
      </c>
      <c r="O53" s="37"/>
      <c r="P53" s="38"/>
      <c r="Q53" s="29">
        <f>IFERROR(VLOOKUP($A53,'[1]05'!$A$4:$BH$96,54,FALSE),0)</f>
        <v>0</v>
      </c>
      <c r="R53" s="37">
        <f>IFERROR(VLOOKUP($A53,'[1]05'!$A$4:$BH$96,55,FALSE),0)</f>
        <v>0</v>
      </c>
      <c r="S53" s="38">
        <f>IFERROR(VLOOKUP($A53,'[1]05'!$A$4:$BH$96,56,FALSE),0)</f>
        <v>0</v>
      </c>
      <c r="T53" s="29">
        <f>IFERROR(VLOOKUP($A53,'[1]06'!$A$4:$BK$96,54,FALSE),0)</f>
        <v>0</v>
      </c>
      <c r="U53" s="37">
        <f>IFERROR(VLOOKUP($A53,'[1]06'!$A$4:$BK$96,56,FALSE),0)</f>
        <v>0</v>
      </c>
      <c r="V53" s="38">
        <f>IFERROR(VLOOKUP($A53,'[1]06'!$A$4:$BK$96,58,FALSE),0)</f>
        <v>0</v>
      </c>
      <c r="W53" s="29">
        <f>IFERROR(VLOOKUP($A53,'[1]06'!$A$4:$BK$96,54,FALSE),0)</f>
        <v>0</v>
      </c>
      <c r="X53" s="37">
        <f>IFERROR(VLOOKUP($A53,'[1]06'!$A$4:$BK$96,56,FALSE),0)</f>
        <v>0</v>
      </c>
      <c r="Y53" s="38">
        <f>IFERROR(VLOOKUP($A53,'[1]06'!$A$4:$BK$96,58,FALSE),0)</f>
        <v>0</v>
      </c>
      <c r="Z53" s="36"/>
      <c r="AA53" s="37"/>
      <c r="AB53" s="38"/>
      <c r="AC53" s="36"/>
      <c r="AD53" s="37"/>
      <c r="AE53" s="38"/>
      <c r="AF53" s="36"/>
      <c r="AG53" s="37"/>
      <c r="AH53" s="38"/>
      <c r="AI53" s="36"/>
      <c r="AJ53" s="37"/>
      <c r="AK53" s="38"/>
      <c r="AL53" s="36"/>
      <c r="AM53" s="37"/>
      <c r="AN53" s="38"/>
      <c r="AO53" s="36"/>
      <c r="AP53" s="37"/>
      <c r="AQ53" s="38"/>
      <c r="AR53" s="36"/>
      <c r="AS53" s="37"/>
      <c r="AT53" s="38"/>
      <c r="AU53" s="36"/>
      <c r="AV53" s="37"/>
      <c r="AW53" s="38"/>
      <c r="AX53" s="36"/>
      <c r="AY53" s="37"/>
      <c r="AZ53" s="38"/>
      <c r="BA53" s="36"/>
      <c r="BB53" s="37"/>
      <c r="BC53" s="38"/>
      <c r="BD53" s="36"/>
      <c r="BE53" s="37"/>
      <c r="BF53" s="38"/>
      <c r="BG53" s="36"/>
      <c r="BH53" s="37"/>
      <c r="BI53" s="38"/>
      <c r="BJ53" s="36"/>
      <c r="BK53" s="37"/>
      <c r="BL53" s="38"/>
      <c r="BM53" s="36"/>
      <c r="BN53" s="37"/>
      <c r="BO53" s="38"/>
      <c r="BP53" s="36"/>
      <c r="BQ53" s="37"/>
      <c r="BR53" s="38"/>
      <c r="BS53" s="36"/>
      <c r="BT53" s="37"/>
      <c r="BU53" s="38"/>
      <c r="BV53" s="36"/>
      <c r="BW53" s="37"/>
      <c r="BX53" s="38"/>
      <c r="BY53" s="36"/>
      <c r="BZ53" s="37"/>
      <c r="CA53" s="38"/>
      <c r="CB53" s="36"/>
      <c r="CC53" s="37"/>
      <c r="CD53" s="38"/>
      <c r="CE53" s="36"/>
      <c r="CF53" s="37"/>
      <c r="CG53" s="38"/>
      <c r="CH53" s="36"/>
      <c r="CI53" s="37"/>
      <c r="CJ53" s="38"/>
      <c r="CK53" s="36"/>
      <c r="CL53" s="37"/>
      <c r="CM53" s="38"/>
      <c r="CN53" s="36"/>
      <c r="CO53" s="37"/>
      <c r="CP53" s="38"/>
      <c r="CQ53" s="36"/>
      <c r="CR53" s="37"/>
      <c r="CS53" s="38"/>
      <c r="CT53" s="36"/>
      <c r="CU53" s="37"/>
      <c r="CV53" s="38"/>
      <c r="CW53" s="36"/>
      <c r="CX53" s="37"/>
      <c r="CY53" s="38"/>
      <c r="CZ53" s="36"/>
      <c r="DA53" s="37"/>
      <c r="DB53" s="38"/>
      <c r="DC53" s="36"/>
      <c r="DD53" s="37"/>
      <c r="DE53" s="38"/>
      <c r="DF53" s="36"/>
      <c r="DG53" s="37"/>
      <c r="DH53" s="38"/>
      <c r="DI53" s="36"/>
      <c r="DJ53" s="37"/>
      <c r="DK53" s="38"/>
      <c r="DL53" s="36"/>
      <c r="DM53" s="37"/>
      <c r="DN53" s="38"/>
      <c r="DO53" s="36"/>
      <c r="DP53" s="37"/>
      <c r="DQ53" s="38"/>
      <c r="DR53" s="36"/>
      <c r="DS53" s="37"/>
      <c r="DT53" s="38"/>
      <c r="DU53" s="36"/>
      <c r="DV53" s="37"/>
      <c r="DW53" s="38"/>
      <c r="DX53" s="36"/>
      <c r="DY53" s="37"/>
      <c r="DZ53" s="38"/>
      <c r="EA53" s="36"/>
      <c r="EB53" s="37"/>
      <c r="EC53" s="38"/>
      <c r="ED53" s="36"/>
      <c r="EE53" s="37"/>
      <c r="EF53" s="38"/>
      <c r="EG53" s="36"/>
      <c r="EH53" s="37"/>
      <c r="EI53" s="38"/>
      <c r="EJ53" s="36"/>
      <c r="EK53" s="37"/>
      <c r="EL53" s="38"/>
      <c r="EM53" s="36"/>
      <c r="EN53" s="37"/>
      <c r="EO53" s="38"/>
      <c r="EP53" s="36"/>
      <c r="EQ53" s="37"/>
      <c r="ER53" s="38"/>
      <c r="ES53" s="36"/>
      <c r="ET53" s="37"/>
      <c r="EU53" s="38"/>
      <c r="EV53" s="36"/>
      <c r="EW53" s="37"/>
      <c r="EX53" s="38"/>
      <c r="EY53" s="36"/>
      <c r="EZ53" s="37"/>
      <c r="FA53" s="38"/>
      <c r="FB53" s="36"/>
      <c r="FC53" s="37"/>
      <c r="FD53" s="38"/>
    </row>
    <row r="54" spans="1:160" x14ac:dyDescent="0.25">
      <c r="A54" s="32" t="s">
        <v>16</v>
      </c>
      <c r="B54" s="33">
        <f t="shared" si="2"/>
        <v>20</v>
      </c>
      <c r="C54" s="34">
        <f t="shared" si="2"/>
        <v>1</v>
      </c>
      <c r="D54" s="35">
        <f t="shared" si="2"/>
        <v>0</v>
      </c>
      <c r="E54" s="36">
        <v>8</v>
      </c>
      <c r="F54" s="37"/>
      <c r="G54" s="38"/>
      <c r="H54" s="36">
        <v>0</v>
      </c>
      <c r="I54" s="37"/>
      <c r="J54" s="38"/>
      <c r="K54" s="36">
        <v>4</v>
      </c>
      <c r="L54" s="37"/>
      <c r="M54" s="38"/>
      <c r="N54" s="36">
        <v>5</v>
      </c>
      <c r="O54" s="37"/>
      <c r="P54" s="38"/>
      <c r="Q54" s="29">
        <f>IFERROR(VLOOKUP($A54,'[1]05'!$A$4:$BH$96,54,FALSE),0)</f>
        <v>3</v>
      </c>
      <c r="R54" s="37">
        <f>IFERROR(VLOOKUP($A54,'[1]05'!$A$4:$BH$96,55,FALSE),0)</f>
        <v>1</v>
      </c>
      <c r="S54" s="38">
        <f>IFERROR(VLOOKUP($A54,'[1]05'!$A$4:$BH$96,56,FALSE),0)</f>
        <v>0</v>
      </c>
      <c r="T54" s="29">
        <f>IFERROR(VLOOKUP($A54,'[1]06'!$A$4:$BK$96,54,FALSE),0)</f>
        <v>0</v>
      </c>
      <c r="U54" s="37">
        <f>IFERROR(VLOOKUP($A54,'[1]06'!$A$4:$BK$96,56,FALSE),0)</f>
        <v>0</v>
      </c>
      <c r="V54" s="38">
        <f>IFERROR(VLOOKUP($A54,'[1]06'!$A$4:$BK$96,58,FALSE),0)</f>
        <v>0</v>
      </c>
      <c r="W54" s="29">
        <f>IFERROR(VLOOKUP($A54,'[1]06'!$A$4:$BK$96,54,FALSE),0)</f>
        <v>0</v>
      </c>
      <c r="X54" s="37">
        <f>IFERROR(VLOOKUP($A54,'[1]06'!$A$4:$BK$96,56,FALSE),0)</f>
        <v>0</v>
      </c>
      <c r="Y54" s="38">
        <f>IFERROR(VLOOKUP($A54,'[1]06'!$A$4:$BK$96,58,FALSE),0)</f>
        <v>0</v>
      </c>
      <c r="Z54" s="36"/>
      <c r="AA54" s="37"/>
      <c r="AB54" s="38"/>
      <c r="AC54" s="36"/>
      <c r="AD54" s="37"/>
      <c r="AE54" s="38"/>
      <c r="AF54" s="36"/>
      <c r="AG54" s="37"/>
      <c r="AH54" s="38"/>
      <c r="AI54" s="36"/>
      <c r="AJ54" s="37"/>
      <c r="AK54" s="38"/>
      <c r="AL54" s="36"/>
      <c r="AM54" s="37"/>
      <c r="AN54" s="38"/>
      <c r="AO54" s="36"/>
      <c r="AP54" s="37"/>
      <c r="AQ54" s="38"/>
      <c r="AR54" s="36"/>
      <c r="AS54" s="37"/>
      <c r="AT54" s="38"/>
      <c r="AU54" s="36"/>
      <c r="AV54" s="37"/>
      <c r="AW54" s="38"/>
      <c r="AX54" s="36"/>
      <c r="AY54" s="37"/>
      <c r="AZ54" s="38"/>
      <c r="BA54" s="36"/>
      <c r="BB54" s="37"/>
      <c r="BC54" s="38"/>
      <c r="BD54" s="36"/>
      <c r="BE54" s="37"/>
      <c r="BF54" s="38"/>
      <c r="BG54" s="36"/>
      <c r="BH54" s="37"/>
      <c r="BI54" s="38"/>
      <c r="BJ54" s="36"/>
      <c r="BK54" s="37"/>
      <c r="BL54" s="38"/>
      <c r="BM54" s="36"/>
      <c r="BN54" s="37"/>
      <c r="BO54" s="38"/>
      <c r="BP54" s="36"/>
      <c r="BQ54" s="37"/>
      <c r="BR54" s="38"/>
      <c r="BS54" s="36"/>
      <c r="BT54" s="37"/>
      <c r="BU54" s="38"/>
      <c r="BV54" s="36"/>
      <c r="BW54" s="37"/>
      <c r="BX54" s="38"/>
      <c r="BY54" s="36"/>
      <c r="BZ54" s="37"/>
      <c r="CA54" s="38"/>
      <c r="CB54" s="36"/>
      <c r="CC54" s="37"/>
      <c r="CD54" s="38"/>
      <c r="CE54" s="36"/>
      <c r="CF54" s="37"/>
      <c r="CG54" s="38"/>
      <c r="CH54" s="36"/>
      <c r="CI54" s="37"/>
      <c r="CJ54" s="38"/>
      <c r="CK54" s="36"/>
      <c r="CL54" s="37"/>
      <c r="CM54" s="38"/>
      <c r="CN54" s="36"/>
      <c r="CO54" s="37"/>
      <c r="CP54" s="38"/>
      <c r="CQ54" s="36"/>
      <c r="CR54" s="37"/>
      <c r="CS54" s="38"/>
      <c r="CT54" s="36"/>
      <c r="CU54" s="37"/>
      <c r="CV54" s="38"/>
      <c r="CW54" s="36"/>
      <c r="CX54" s="37"/>
      <c r="CY54" s="38"/>
      <c r="CZ54" s="36"/>
      <c r="DA54" s="37"/>
      <c r="DB54" s="38"/>
      <c r="DC54" s="36"/>
      <c r="DD54" s="37"/>
      <c r="DE54" s="38"/>
      <c r="DF54" s="36"/>
      <c r="DG54" s="37"/>
      <c r="DH54" s="38"/>
      <c r="DI54" s="36"/>
      <c r="DJ54" s="37"/>
      <c r="DK54" s="38"/>
      <c r="DL54" s="36"/>
      <c r="DM54" s="37"/>
      <c r="DN54" s="38"/>
      <c r="DO54" s="36"/>
      <c r="DP54" s="37"/>
      <c r="DQ54" s="38"/>
      <c r="DR54" s="36"/>
      <c r="DS54" s="37"/>
      <c r="DT54" s="38"/>
      <c r="DU54" s="36"/>
      <c r="DV54" s="37"/>
      <c r="DW54" s="38"/>
      <c r="DX54" s="36"/>
      <c r="DY54" s="37"/>
      <c r="DZ54" s="38"/>
      <c r="EA54" s="36"/>
      <c r="EB54" s="37"/>
      <c r="EC54" s="38"/>
      <c r="ED54" s="36"/>
      <c r="EE54" s="37"/>
      <c r="EF54" s="38"/>
      <c r="EG54" s="36"/>
      <c r="EH54" s="37"/>
      <c r="EI54" s="38"/>
      <c r="EJ54" s="36"/>
      <c r="EK54" s="37"/>
      <c r="EL54" s="38"/>
      <c r="EM54" s="36"/>
      <c r="EN54" s="37"/>
      <c r="EO54" s="38"/>
      <c r="EP54" s="36"/>
      <c r="EQ54" s="37"/>
      <c r="ER54" s="38"/>
      <c r="ES54" s="36"/>
      <c r="ET54" s="37"/>
      <c r="EU54" s="38"/>
      <c r="EV54" s="36"/>
      <c r="EW54" s="37"/>
      <c r="EX54" s="38"/>
      <c r="EY54" s="36"/>
      <c r="EZ54" s="37"/>
      <c r="FA54" s="38"/>
      <c r="FB54" s="36"/>
      <c r="FC54" s="37"/>
      <c r="FD54" s="38"/>
    </row>
    <row r="55" spans="1:160" x14ac:dyDescent="0.25">
      <c r="A55" s="32" t="s">
        <v>38</v>
      </c>
      <c r="B55" s="33">
        <f t="shared" si="2"/>
        <v>1</v>
      </c>
      <c r="C55" s="34">
        <f t="shared" si="2"/>
        <v>1</v>
      </c>
      <c r="D55" s="35">
        <f t="shared" si="2"/>
        <v>1</v>
      </c>
      <c r="E55" s="36">
        <v>1</v>
      </c>
      <c r="F55" s="37"/>
      <c r="G55" s="38"/>
      <c r="H55" s="36">
        <v>0</v>
      </c>
      <c r="I55" s="37"/>
      <c r="J55" s="38"/>
      <c r="K55" s="36">
        <v>0</v>
      </c>
      <c r="L55" s="37"/>
      <c r="M55" s="38"/>
      <c r="N55" s="36">
        <v>0</v>
      </c>
      <c r="O55" s="37"/>
      <c r="P55" s="38"/>
      <c r="Q55" s="29">
        <f>IFERROR(VLOOKUP($A55,'[1]05'!$A$4:$BH$96,54,FALSE),0)</f>
        <v>0</v>
      </c>
      <c r="R55" s="37">
        <f>IFERROR(VLOOKUP($A55,'[1]05'!$A$4:$BH$96,55,FALSE),0)</f>
        <v>1</v>
      </c>
      <c r="S55" s="38">
        <f>IFERROR(VLOOKUP($A55,'[1]05'!$A$4:$BH$96,56,FALSE),0)</f>
        <v>1</v>
      </c>
      <c r="T55" s="29">
        <f>IFERROR(VLOOKUP($A55,'[1]06'!$A$4:$BK$96,54,FALSE),0)</f>
        <v>0</v>
      </c>
      <c r="U55" s="37">
        <f>IFERROR(VLOOKUP($A55,'[1]06'!$A$4:$BK$96,56,FALSE),0)</f>
        <v>0</v>
      </c>
      <c r="V55" s="38">
        <f>IFERROR(VLOOKUP($A55,'[1]06'!$A$4:$BK$96,58,FALSE),0)</f>
        <v>0</v>
      </c>
      <c r="W55" s="29">
        <f>IFERROR(VLOOKUP($A55,'[1]06'!$A$4:$BK$96,54,FALSE),0)</f>
        <v>0</v>
      </c>
      <c r="X55" s="37">
        <f>IFERROR(VLOOKUP($A55,'[1]06'!$A$4:$BK$96,56,FALSE),0)</f>
        <v>0</v>
      </c>
      <c r="Y55" s="38">
        <f>IFERROR(VLOOKUP($A55,'[1]06'!$A$4:$BK$96,58,FALSE),0)</f>
        <v>0</v>
      </c>
      <c r="Z55" s="36"/>
      <c r="AA55" s="37"/>
      <c r="AB55" s="38"/>
      <c r="AC55" s="36"/>
      <c r="AD55" s="37"/>
      <c r="AE55" s="38"/>
      <c r="AF55" s="36"/>
      <c r="AG55" s="37"/>
      <c r="AH55" s="38"/>
      <c r="AI55" s="36"/>
      <c r="AJ55" s="37"/>
      <c r="AK55" s="38"/>
      <c r="AL55" s="36"/>
      <c r="AM55" s="37"/>
      <c r="AN55" s="38"/>
      <c r="AO55" s="36"/>
      <c r="AP55" s="37"/>
      <c r="AQ55" s="38"/>
      <c r="AR55" s="36"/>
      <c r="AS55" s="37"/>
      <c r="AT55" s="38"/>
      <c r="AU55" s="36"/>
      <c r="AV55" s="37"/>
      <c r="AW55" s="38"/>
      <c r="AX55" s="36"/>
      <c r="AY55" s="37"/>
      <c r="AZ55" s="38"/>
      <c r="BA55" s="36"/>
      <c r="BB55" s="37"/>
      <c r="BC55" s="38"/>
      <c r="BD55" s="36"/>
      <c r="BE55" s="37"/>
      <c r="BF55" s="38"/>
      <c r="BG55" s="36"/>
      <c r="BH55" s="37"/>
      <c r="BI55" s="38"/>
      <c r="BJ55" s="36"/>
      <c r="BK55" s="37"/>
      <c r="BL55" s="38"/>
      <c r="BM55" s="36"/>
      <c r="BN55" s="37"/>
      <c r="BO55" s="38"/>
      <c r="BP55" s="36"/>
      <c r="BQ55" s="37"/>
      <c r="BR55" s="38"/>
      <c r="BS55" s="36"/>
      <c r="BT55" s="37"/>
      <c r="BU55" s="38"/>
      <c r="BV55" s="36"/>
      <c r="BW55" s="37"/>
      <c r="BX55" s="38"/>
      <c r="BY55" s="36"/>
      <c r="BZ55" s="37"/>
      <c r="CA55" s="38"/>
      <c r="CB55" s="36"/>
      <c r="CC55" s="37"/>
      <c r="CD55" s="38"/>
      <c r="CE55" s="36"/>
      <c r="CF55" s="37"/>
      <c r="CG55" s="38"/>
      <c r="CH55" s="36"/>
      <c r="CI55" s="37"/>
      <c r="CJ55" s="38"/>
      <c r="CK55" s="36"/>
      <c r="CL55" s="37"/>
      <c r="CM55" s="38"/>
      <c r="CN55" s="36"/>
      <c r="CO55" s="37"/>
      <c r="CP55" s="38"/>
      <c r="CQ55" s="36"/>
      <c r="CR55" s="37"/>
      <c r="CS55" s="38"/>
      <c r="CT55" s="36"/>
      <c r="CU55" s="37"/>
      <c r="CV55" s="38"/>
      <c r="CW55" s="36"/>
      <c r="CX55" s="37"/>
      <c r="CY55" s="38"/>
      <c r="CZ55" s="36"/>
      <c r="DA55" s="37"/>
      <c r="DB55" s="38"/>
      <c r="DC55" s="36"/>
      <c r="DD55" s="37"/>
      <c r="DE55" s="38"/>
      <c r="DF55" s="36"/>
      <c r="DG55" s="37"/>
      <c r="DH55" s="38"/>
      <c r="DI55" s="36"/>
      <c r="DJ55" s="37"/>
      <c r="DK55" s="38"/>
      <c r="DL55" s="36"/>
      <c r="DM55" s="37"/>
      <c r="DN55" s="38"/>
      <c r="DO55" s="36"/>
      <c r="DP55" s="37"/>
      <c r="DQ55" s="38"/>
      <c r="DR55" s="36"/>
      <c r="DS55" s="37"/>
      <c r="DT55" s="38"/>
      <c r="DU55" s="36"/>
      <c r="DV55" s="37"/>
      <c r="DW55" s="38"/>
      <c r="DX55" s="36"/>
      <c r="DY55" s="37"/>
      <c r="DZ55" s="38"/>
      <c r="EA55" s="36"/>
      <c r="EB55" s="37"/>
      <c r="EC55" s="38"/>
      <c r="ED55" s="36"/>
      <c r="EE55" s="37"/>
      <c r="EF55" s="38"/>
      <c r="EG55" s="36"/>
      <c r="EH55" s="37"/>
      <c r="EI55" s="38"/>
      <c r="EJ55" s="36"/>
      <c r="EK55" s="37"/>
      <c r="EL55" s="38"/>
      <c r="EM55" s="36"/>
      <c r="EN55" s="37"/>
      <c r="EO55" s="38"/>
      <c r="EP55" s="36"/>
      <c r="EQ55" s="37"/>
      <c r="ER55" s="38"/>
      <c r="ES55" s="36"/>
      <c r="ET55" s="37"/>
      <c r="EU55" s="38"/>
      <c r="EV55" s="36"/>
      <c r="EW55" s="37"/>
      <c r="EX55" s="38"/>
      <c r="EY55" s="36"/>
      <c r="EZ55" s="37"/>
      <c r="FA55" s="38"/>
      <c r="FB55" s="36"/>
      <c r="FC55" s="37"/>
      <c r="FD55" s="38"/>
    </row>
    <row r="56" spans="1:160" x14ac:dyDescent="0.25">
      <c r="A56" s="32" t="s">
        <v>47</v>
      </c>
      <c r="B56" s="33">
        <f t="shared" si="2"/>
        <v>3</v>
      </c>
      <c r="C56" s="34">
        <f t="shared" si="2"/>
        <v>0</v>
      </c>
      <c r="D56" s="35">
        <f t="shared" si="2"/>
        <v>0</v>
      </c>
      <c r="E56" s="36">
        <v>0</v>
      </c>
      <c r="F56" s="37"/>
      <c r="G56" s="38"/>
      <c r="H56" s="36">
        <v>0</v>
      </c>
      <c r="I56" s="37"/>
      <c r="J56" s="38"/>
      <c r="K56" s="36">
        <v>3</v>
      </c>
      <c r="L56" s="37"/>
      <c r="M56" s="38"/>
      <c r="N56" s="36">
        <v>0</v>
      </c>
      <c r="O56" s="37"/>
      <c r="P56" s="38"/>
      <c r="Q56" s="29">
        <f>IFERROR(VLOOKUP($A56,'[1]05'!$A$4:$BH$96,54,FALSE),0)</f>
        <v>0</v>
      </c>
      <c r="R56" s="37">
        <f>IFERROR(VLOOKUP($A56,'[1]05'!$A$4:$BH$96,55,FALSE),0)</f>
        <v>0</v>
      </c>
      <c r="S56" s="38">
        <f>IFERROR(VLOOKUP($A56,'[1]05'!$A$4:$BH$96,56,FALSE),0)</f>
        <v>0</v>
      </c>
      <c r="T56" s="29">
        <f>IFERROR(VLOOKUP($A56,'[1]06'!$A$4:$BK$96,54,FALSE),0)</f>
        <v>0</v>
      </c>
      <c r="U56" s="37">
        <f>IFERROR(VLOOKUP($A56,'[1]06'!$A$4:$BK$96,56,FALSE),0)</f>
        <v>0</v>
      </c>
      <c r="V56" s="38">
        <f>IFERROR(VLOOKUP($A56,'[1]06'!$A$4:$BK$96,58,FALSE),0)</f>
        <v>0</v>
      </c>
      <c r="W56" s="29">
        <f>IFERROR(VLOOKUP($A56,'[1]06'!$A$4:$BK$96,54,FALSE),0)</f>
        <v>0</v>
      </c>
      <c r="X56" s="37">
        <f>IFERROR(VLOOKUP($A56,'[1]06'!$A$4:$BK$96,56,FALSE),0)</f>
        <v>0</v>
      </c>
      <c r="Y56" s="38">
        <f>IFERROR(VLOOKUP($A56,'[1]06'!$A$4:$BK$96,58,FALSE),0)</f>
        <v>0</v>
      </c>
      <c r="Z56" s="36"/>
      <c r="AA56" s="37"/>
      <c r="AB56" s="38"/>
      <c r="AC56" s="36"/>
      <c r="AD56" s="37"/>
      <c r="AE56" s="38"/>
      <c r="AF56" s="36"/>
      <c r="AG56" s="37"/>
      <c r="AH56" s="38"/>
      <c r="AI56" s="36"/>
      <c r="AJ56" s="37"/>
      <c r="AK56" s="38"/>
      <c r="AL56" s="36"/>
      <c r="AM56" s="37"/>
      <c r="AN56" s="38"/>
      <c r="AO56" s="36"/>
      <c r="AP56" s="37"/>
      <c r="AQ56" s="38"/>
      <c r="AR56" s="36"/>
      <c r="AS56" s="37"/>
      <c r="AT56" s="38"/>
      <c r="AU56" s="36"/>
      <c r="AV56" s="37"/>
      <c r="AW56" s="38"/>
      <c r="AX56" s="36"/>
      <c r="AY56" s="37"/>
      <c r="AZ56" s="38"/>
      <c r="BA56" s="36"/>
      <c r="BB56" s="37"/>
      <c r="BC56" s="38"/>
      <c r="BD56" s="36"/>
      <c r="BE56" s="37"/>
      <c r="BF56" s="38"/>
      <c r="BG56" s="36"/>
      <c r="BH56" s="37"/>
      <c r="BI56" s="38"/>
      <c r="BJ56" s="36"/>
      <c r="BK56" s="37"/>
      <c r="BL56" s="38"/>
      <c r="BM56" s="36"/>
      <c r="BN56" s="37"/>
      <c r="BO56" s="38"/>
      <c r="BP56" s="36"/>
      <c r="BQ56" s="37"/>
      <c r="BR56" s="38"/>
      <c r="BS56" s="36"/>
      <c r="BT56" s="37"/>
      <c r="BU56" s="38"/>
      <c r="BV56" s="36"/>
      <c r="BW56" s="37"/>
      <c r="BX56" s="38"/>
      <c r="BY56" s="36"/>
      <c r="BZ56" s="37"/>
      <c r="CA56" s="38"/>
      <c r="CB56" s="36"/>
      <c r="CC56" s="37"/>
      <c r="CD56" s="38"/>
      <c r="CE56" s="36"/>
      <c r="CF56" s="37"/>
      <c r="CG56" s="38"/>
      <c r="CH56" s="36"/>
      <c r="CI56" s="37"/>
      <c r="CJ56" s="38"/>
      <c r="CK56" s="36"/>
      <c r="CL56" s="37"/>
      <c r="CM56" s="38"/>
      <c r="CN56" s="36"/>
      <c r="CO56" s="37"/>
      <c r="CP56" s="38"/>
      <c r="CQ56" s="36"/>
      <c r="CR56" s="37"/>
      <c r="CS56" s="38"/>
      <c r="CT56" s="36"/>
      <c r="CU56" s="37"/>
      <c r="CV56" s="38"/>
      <c r="CW56" s="36"/>
      <c r="CX56" s="37"/>
      <c r="CY56" s="38"/>
      <c r="CZ56" s="36"/>
      <c r="DA56" s="37"/>
      <c r="DB56" s="38"/>
      <c r="DC56" s="36"/>
      <c r="DD56" s="37"/>
      <c r="DE56" s="38"/>
      <c r="DF56" s="36"/>
      <c r="DG56" s="37"/>
      <c r="DH56" s="38"/>
      <c r="DI56" s="36"/>
      <c r="DJ56" s="37"/>
      <c r="DK56" s="38"/>
      <c r="DL56" s="36"/>
      <c r="DM56" s="37"/>
      <c r="DN56" s="38"/>
      <c r="DO56" s="36"/>
      <c r="DP56" s="37"/>
      <c r="DQ56" s="38"/>
      <c r="DR56" s="36"/>
      <c r="DS56" s="37"/>
      <c r="DT56" s="38"/>
      <c r="DU56" s="36"/>
      <c r="DV56" s="37"/>
      <c r="DW56" s="38"/>
      <c r="DX56" s="36"/>
      <c r="DY56" s="37"/>
      <c r="DZ56" s="38"/>
      <c r="EA56" s="36"/>
      <c r="EB56" s="37"/>
      <c r="EC56" s="38"/>
      <c r="ED56" s="36"/>
      <c r="EE56" s="37"/>
      <c r="EF56" s="38"/>
      <c r="EG56" s="36"/>
      <c r="EH56" s="37"/>
      <c r="EI56" s="38"/>
      <c r="EJ56" s="36"/>
      <c r="EK56" s="37"/>
      <c r="EL56" s="38"/>
      <c r="EM56" s="36"/>
      <c r="EN56" s="37"/>
      <c r="EO56" s="38"/>
      <c r="EP56" s="36"/>
      <c r="EQ56" s="37"/>
      <c r="ER56" s="38"/>
      <c r="ES56" s="36"/>
      <c r="ET56" s="37"/>
      <c r="EU56" s="38"/>
      <c r="EV56" s="36"/>
      <c r="EW56" s="37"/>
      <c r="EX56" s="38"/>
      <c r="EY56" s="36"/>
      <c r="EZ56" s="37"/>
      <c r="FA56" s="38"/>
      <c r="FB56" s="36"/>
      <c r="FC56" s="37"/>
      <c r="FD56" s="38"/>
    </row>
    <row r="57" spans="1:160" x14ac:dyDescent="0.25">
      <c r="A57" s="32" t="s">
        <v>32</v>
      </c>
      <c r="B57" s="33">
        <f t="shared" si="2"/>
        <v>9</v>
      </c>
      <c r="C57" s="34">
        <f t="shared" si="2"/>
        <v>2</v>
      </c>
      <c r="D57" s="35">
        <f t="shared" si="2"/>
        <v>0</v>
      </c>
      <c r="E57" s="36">
        <v>0</v>
      </c>
      <c r="F57" s="37"/>
      <c r="G57" s="38"/>
      <c r="H57" s="36">
        <v>4</v>
      </c>
      <c r="I57" s="37"/>
      <c r="J57" s="38"/>
      <c r="K57" s="36">
        <v>0</v>
      </c>
      <c r="L57" s="37"/>
      <c r="M57" s="38"/>
      <c r="N57" s="36">
        <v>3</v>
      </c>
      <c r="O57" s="37"/>
      <c r="P57" s="38"/>
      <c r="Q57" s="29">
        <f>IFERROR(VLOOKUP($A57,'[1]05'!$A$4:$BH$96,54,FALSE),0)</f>
        <v>2</v>
      </c>
      <c r="R57" s="37">
        <f>IFERROR(VLOOKUP($A57,'[1]05'!$A$4:$BH$96,55,FALSE),0)</f>
        <v>2</v>
      </c>
      <c r="S57" s="38">
        <f>IFERROR(VLOOKUP($A57,'[1]05'!$A$4:$BH$96,56,FALSE),0)</f>
        <v>0</v>
      </c>
      <c r="T57" s="29">
        <f>IFERROR(VLOOKUP($A57,'[1]06'!$A$4:$BK$96,54,FALSE),0)</f>
        <v>0</v>
      </c>
      <c r="U57" s="37">
        <f>IFERROR(VLOOKUP($A57,'[1]06'!$A$4:$BK$96,56,FALSE),0)</f>
        <v>0</v>
      </c>
      <c r="V57" s="38">
        <f>IFERROR(VLOOKUP($A57,'[1]06'!$A$4:$BK$96,58,FALSE),0)</f>
        <v>0</v>
      </c>
      <c r="W57" s="29">
        <f>IFERROR(VLOOKUP($A57,'[1]06'!$A$4:$BK$96,54,FALSE),0)</f>
        <v>0</v>
      </c>
      <c r="X57" s="37">
        <f>IFERROR(VLOOKUP($A57,'[1]06'!$A$4:$BK$96,56,FALSE),0)</f>
        <v>0</v>
      </c>
      <c r="Y57" s="38">
        <f>IFERROR(VLOOKUP($A57,'[1]06'!$A$4:$BK$96,58,FALSE),0)</f>
        <v>0</v>
      </c>
      <c r="Z57" s="36"/>
      <c r="AA57" s="37"/>
      <c r="AB57" s="38"/>
      <c r="AC57" s="36"/>
      <c r="AD57" s="37"/>
      <c r="AE57" s="38"/>
      <c r="AF57" s="36"/>
      <c r="AG57" s="37"/>
      <c r="AH57" s="38"/>
      <c r="AI57" s="36"/>
      <c r="AJ57" s="37"/>
      <c r="AK57" s="38"/>
      <c r="AL57" s="36"/>
      <c r="AM57" s="37"/>
      <c r="AN57" s="38"/>
      <c r="AO57" s="36"/>
      <c r="AP57" s="37"/>
      <c r="AQ57" s="38"/>
      <c r="AR57" s="36"/>
      <c r="AS57" s="37"/>
      <c r="AT57" s="38"/>
      <c r="AU57" s="36"/>
      <c r="AV57" s="37"/>
      <c r="AW57" s="38"/>
      <c r="AX57" s="36"/>
      <c r="AY57" s="37"/>
      <c r="AZ57" s="38"/>
      <c r="BA57" s="36"/>
      <c r="BB57" s="37"/>
      <c r="BC57" s="38"/>
      <c r="BD57" s="36"/>
      <c r="BE57" s="37"/>
      <c r="BF57" s="38"/>
      <c r="BG57" s="36"/>
      <c r="BH57" s="37"/>
      <c r="BI57" s="38"/>
      <c r="BJ57" s="36"/>
      <c r="BK57" s="37"/>
      <c r="BL57" s="38"/>
      <c r="BM57" s="36"/>
      <c r="BN57" s="37"/>
      <c r="BO57" s="38"/>
      <c r="BP57" s="36"/>
      <c r="BQ57" s="37"/>
      <c r="BR57" s="38"/>
      <c r="BS57" s="36"/>
      <c r="BT57" s="37"/>
      <c r="BU57" s="38"/>
      <c r="BV57" s="36"/>
      <c r="BW57" s="37"/>
      <c r="BX57" s="38"/>
      <c r="BY57" s="36"/>
      <c r="BZ57" s="37"/>
      <c r="CA57" s="38"/>
      <c r="CB57" s="36"/>
      <c r="CC57" s="37"/>
      <c r="CD57" s="38"/>
      <c r="CE57" s="36"/>
      <c r="CF57" s="37"/>
      <c r="CG57" s="38"/>
      <c r="CH57" s="36"/>
      <c r="CI57" s="37"/>
      <c r="CJ57" s="38"/>
      <c r="CK57" s="36"/>
      <c r="CL57" s="37"/>
      <c r="CM57" s="38"/>
      <c r="CN57" s="36"/>
      <c r="CO57" s="37"/>
      <c r="CP57" s="38"/>
      <c r="CQ57" s="36"/>
      <c r="CR57" s="37"/>
      <c r="CS57" s="38"/>
      <c r="CT57" s="36"/>
      <c r="CU57" s="37"/>
      <c r="CV57" s="38"/>
      <c r="CW57" s="36"/>
      <c r="CX57" s="37"/>
      <c r="CY57" s="38"/>
      <c r="CZ57" s="36"/>
      <c r="DA57" s="37"/>
      <c r="DB57" s="38"/>
      <c r="DC57" s="36"/>
      <c r="DD57" s="37"/>
      <c r="DE57" s="38"/>
      <c r="DF57" s="36"/>
      <c r="DG57" s="37"/>
      <c r="DH57" s="38"/>
      <c r="DI57" s="36"/>
      <c r="DJ57" s="37"/>
      <c r="DK57" s="38"/>
      <c r="DL57" s="36"/>
      <c r="DM57" s="37"/>
      <c r="DN57" s="38"/>
      <c r="DO57" s="36"/>
      <c r="DP57" s="37"/>
      <c r="DQ57" s="38"/>
      <c r="DR57" s="36"/>
      <c r="DS57" s="37"/>
      <c r="DT57" s="38"/>
      <c r="DU57" s="36"/>
      <c r="DV57" s="37"/>
      <c r="DW57" s="38"/>
      <c r="DX57" s="36"/>
      <c r="DY57" s="37"/>
      <c r="DZ57" s="38"/>
      <c r="EA57" s="36"/>
      <c r="EB57" s="37"/>
      <c r="EC57" s="38"/>
      <c r="ED57" s="36"/>
      <c r="EE57" s="37"/>
      <c r="EF57" s="38"/>
      <c r="EG57" s="36"/>
      <c r="EH57" s="37"/>
      <c r="EI57" s="38"/>
      <c r="EJ57" s="36"/>
      <c r="EK57" s="37"/>
      <c r="EL57" s="38"/>
      <c r="EM57" s="36"/>
      <c r="EN57" s="37"/>
      <c r="EO57" s="38"/>
      <c r="EP57" s="36"/>
      <c r="EQ57" s="37"/>
      <c r="ER57" s="38"/>
      <c r="ES57" s="36"/>
      <c r="ET57" s="37"/>
      <c r="EU57" s="38"/>
      <c r="EV57" s="36"/>
      <c r="EW57" s="37"/>
      <c r="EX57" s="38"/>
      <c r="EY57" s="36"/>
      <c r="EZ57" s="37"/>
      <c r="FA57" s="38"/>
      <c r="FB57" s="36"/>
      <c r="FC57" s="37"/>
      <c r="FD57" s="38"/>
    </row>
    <row r="58" spans="1:160" x14ac:dyDescent="0.25">
      <c r="A58" s="32" t="s">
        <v>35</v>
      </c>
      <c r="B58" s="33">
        <f t="shared" si="2"/>
        <v>3</v>
      </c>
      <c r="C58" s="34">
        <f t="shared" si="2"/>
        <v>0</v>
      </c>
      <c r="D58" s="35">
        <f t="shared" si="2"/>
        <v>0</v>
      </c>
      <c r="E58" s="36">
        <v>0</v>
      </c>
      <c r="F58" s="37"/>
      <c r="G58" s="38"/>
      <c r="H58" s="36">
        <v>0</v>
      </c>
      <c r="I58" s="37"/>
      <c r="J58" s="38"/>
      <c r="K58" s="36">
        <v>1</v>
      </c>
      <c r="L58" s="37"/>
      <c r="M58" s="38"/>
      <c r="N58" s="36">
        <v>1</v>
      </c>
      <c r="O58" s="37"/>
      <c r="P58" s="38"/>
      <c r="Q58" s="29">
        <f>IFERROR(VLOOKUP($A58,'[1]05'!$A$4:$BH$96,54,FALSE),0)</f>
        <v>1</v>
      </c>
      <c r="R58" s="37">
        <f>IFERROR(VLOOKUP($A58,'[1]05'!$A$4:$BH$96,55,FALSE),0)</f>
        <v>0</v>
      </c>
      <c r="S58" s="38">
        <f>IFERROR(VLOOKUP($A58,'[1]05'!$A$4:$BH$96,56,FALSE),0)</f>
        <v>0</v>
      </c>
      <c r="T58" s="29">
        <f>IFERROR(VLOOKUP($A58,'[1]06'!$A$4:$BK$96,54,FALSE),0)</f>
        <v>0</v>
      </c>
      <c r="U58" s="37">
        <f>IFERROR(VLOOKUP($A58,'[1]06'!$A$4:$BK$96,56,FALSE),0)</f>
        <v>0</v>
      </c>
      <c r="V58" s="38">
        <f>IFERROR(VLOOKUP($A58,'[1]06'!$A$4:$BK$96,58,FALSE),0)</f>
        <v>0</v>
      </c>
      <c r="W58" s="29">
        <f>IFERROR(VLOOKUP($A58,'[1]06'!$A$4:$BK$96,54,FALSE),0)</f>
        <v>0</v>
      </c>
      <c r="X58" s="37">
        <f>IFERROR(VLOOKUP($A58,'[1]06'!$A$4:$BK$96,56,FALSE),0)</f>
        <v>0</v>
      </c>
      <c r="Y58" s="38">
        <f>IFERROR(VLOOKUP($A58,'[1]06'!$A$4:$BK$96,58,FALSE),0)</f>
        <v>0</v>
      </c>
      <c r="Z58" s="36"/>
      <c r="AA58" s="37"/>
      <c r="AB58" s="38"/>
      <c r="AC58" s="36"/>
      <c r="AD58" s="37"/>
      <c r="AE58" s="38"/>
      <c r="AF58" s="36"/>
      <c r="AG58" s="37"/>
      <c r="AH58" s="38"/>
      <c r="AI58" s="36"/>
      <c r="AJ58" s="37"/>
      <c r="AK58" s="38"/>
      <c r="AL58" s="36"/>
      <c r="AM58" s="37"/>
      <c r="AN58" s="38"/>
      <c r="AO58" s="36"/>
      <c r="AP58" s="37"/>
      <c r="AQ58" s="38"/>
      <c r="AR58" s="36"/>
      <c r="AS58" s="37"/>
      <c r="AT58" s="38"/>
      <c r="AU58" s="36"/>
      <c r="AV58" s="37"/>
      <c r="AW58" s="38"/>
      <c r="AX58" s="36"/>
      <c r="AY58" s="37"/>
      <c r="AZ58" s="38"/>
      <c r="BA58" s="36"/>
      <c r="BB58" s="37"/>
      <c r="BC58" s="38"/>
      <c r="BD58" s="36"/>
      <c r="BE58" s="37"/>
      <c r="BF58" s="38"/>
      <c r="BG58" s="36"/>
      <c r="BH58" s="37"/>
      <c r="BI58" s="38"/>
      <c r="BJ58" s="36"/>
      <c r="BK58" s="37"/>
      <c r="BL58" s="38"/>
      <c r="BM58" s="36"/>
      <c r="BN58" s="37"/>
      <c r="BO58" s="38"/>
      <c r="BP58" s="36"/>
      <c r="BQ58" s="37"/>
      <c r="BR58" s="38"/>
      <c r="BS58" s="36"/>
      <c r="BT58" s="37"/>
      <c r="BU58" s="38"/>
      <c r="BV58" s="36"/>
      <c r="BW58" s="37"/>
      <c r="BX58" s="38"/>
      <c r="BY58" s="36"/>
      <c r="BZ58" s="37"/>
      <c r="CA58" s="38"/>
      <c r="CB58" s="36"/>
      <c r="CC58" s="37"/>
      <c r="CD58" s="38"/>
      <c r="CE58" s="36"/>
      <c r="CF58" s="37"/>
      <c r="CG58" s="38"/>
      <c r="CH58" s="36"/>
      <c r="CI58" s="37"/>
      <c r="CJ58" s="38"/>
      <c r="CK58" s="36"/>
      <c r="CL58" s="37"/>
      <c r="CM58" s="38"/>
      <c r="CN58" s="36"/>
      <c r="CO58" s="37"/>
      <c r="CP58" s="38"/>
      <c r="CQ58" s="36"/>
      <c r="CR58" s="37"/>
      <c r="CS58" s="38"/>
      <c r="CT58" s="36"/>
      <c r="CU58" s="37"/>
      <c r="CV58" s="38"/>
      <c r="CW58" s="36"/>
      <c r="CX58" s="37"/>
      <c r="CY58" s="38"/>
      <c r="CZ58" s="36"/>
      <c r="DA58" s="37"/>
      <c r="DB58" s="38"/>
      <c r="DC58" s="36"/>
      <c r="DD58" s="37"/>
      <c r="DE58" s="38"/>
      <c r="DF58" s="36"/>
      <c r="DG58" s="37"/>
      <c r="DH58" s="38"/>
      <c r="DI58" s="36"/>
      <c r="DJ58" s="37"/>
      <c r="DK58" s="38"/>
      <c r="DL58" s="36"/>
      <c r="DM58" s="37"/>
      <c r="DN58" s="38"/>
      <c r="DO58" s="36"/>
      <c r="DP58" s="37"/>
      <c r="DQ58" s="38"/>
      <c r="DR58" s="36"/>
      <c r="DS58" s="37"/>
      <c r="DT58" s="38"/>
      <c r="DU58" s="36"/>
      <c r="DV58" s="37"/>
      <c r="DW58" s="38"/>
      <c r="DX58" s="36"/>
      <c r="DY58" s="37"/>
      <c r="DZ58" s="38"/>
      <c r="EA58" s="36"/>
      <c r="EB58" s="37"/>
      <c r="EC58" s="38"/>
      <c r="ED58" s="36"/>
      <c r="EE58" s="37"/>
      <c r="EF58" s="38"/>
      <c r="EG58" s="36"/>
      <c r="EH58" s="37"/>
      <c r="EI58" s="38"/>
      <c r="EJ58" s="36"/>
      <c r="EK58" s="37"/>
      <c r="EL58" s="38"/>
      <c r="EM58" s="36"/>
      <c r="EN58" s="37"/>
      <c r="EO58" s="38"/>
      <c r="EP58" s="36"/>
      <c r="EQ58" s="37"/>
      <c r="ER58" s="38"/>
      <c r="ES58" s="36"/>
      <c r="ET58" s="37"/>
      <c r="EU58" s="38"/>
      <c r="EV58" s="36"/>
      <c r="EW58" s="37"/>
      <c r="EX58" s="38"/>
      <c r="EY58" s="36"/>
      <c r="EZ58" s="37"/>
      <c r="FA58" s="38"/>
      <c r="FB58" s="36"/>
      <c r="FC58" s="37"/>
      <c r="FD58" s="38"/>
    </row>
    <row r="59" spans="1:160" x14ac:dyDescent="0.25">
      <c r="A59" s="32" t="s">
        <v>9</v>
      </c>
      <c r="B59" s="33">
        <f t="shared" si="2"/>
        <v>1</v>
      </c>
      <c r="C59" s="34">
        <f t="shared" si="2"/>
        <v>0</v>
      </c>
      <c r="D59" s="35">
        <f t="shared" si="2"/>
        <v>1</v>
      </c>
      <c r="E59" s="36">
        <v>0</v>
      </c>
      <c r="F59" s="37"/>
      <c r="G59" s="38"/>
      <c r="H59" s="36">
        <v>0</v>
      </c>
      <c r="I59" s="37"/>
      <c r="J59" s="38"/>
      <c r="K59" s="36">
        <v>0</v>
      </c>
      <c r="L59" s="37"/>
      <c r="M59" s="38"/>
      <c r="N59" s="36">
        <v>0</v>
      </c>
      <c r="O59" s="37"/>
      <c r="P59" s="38"/>
      <c r="Q59" s="29">
        <f>IFERROR(VLOOKUP($A59,'[1]05'!$A$4:$BH$96,54,FALSE),0)</f>
        <v>1</v>
      </c>
      <c r="R59" s="37">
        <f>IFERROR(VLOOKUP($A59,'[1]05'!$A$4:$BH$96,55,FALSE),0)</f>
        <v>0</v>
      </c>
      <c r="S59" s="38">
        <f>IFERROR(VLOOKUP($A59,'[1]05'!$A$4:$BH$96,56,FALSE),0)</f>
        <v>1</v>
      </c>
      <c r="T59" s="29">
        <f>IFERROR(VLOOKUP($A59,'[1]06'!$A$4:$BK$96,54,FALSE),0)</f>
        <v>0</v>
      </c>
      <c r="U59" s="37">
        <f>IFERROR(VLOOKUP($A59,'[1]06'!$A$4:$BK$96,56,FALSE),0)</f>
        <v>0</v>
      </c>
      <c r="V59" s="38">
        <f>IFERROR(VLOOKUP($A59,'[1]06'!$A$4:$BK$96,58,FALSE),0)</f>
        <v>0</v>
      </c>
      <c r="W59" s="29">
        <f>IFERROR(VLOOKUP($A59,'[1]06'!$A$4:$BK$96,54,FALSE),0)</f>
        <v>0</v>
      </c>
      <c r="X59" s="37">
        <f>IFERROR(VLOOKUP($A59,'[1]06'!$A$4:$BK$96,56,FALSE),0)</f>
        <v>0</v>
      </c>
      <c r="Y59" s="38">
        <f>IFERROR(VLOOKUP($A59,'[1]06'!$A$4:$BK$96,58,FALSE),0)</f>
        <v>0</v>
      </c>
      <c r="Z59" s="36"/>
      <c r="AA59" s="37"/>
      <c r="AB59" s="38"/>
      <c r="AC59" s="36"/>
      <c r="AD59" s="37"/>
      <c r="AE59" s="38"/>
      <c r="AF59" s="36"/>
      <c r="AG59" s="37"/>
      <c r="AH59" s="38"/>
      <c r="AI59" s="36"/>
      <c r="AJ59" s="37"/>
      <c r="AK59" s="38"/>
      <c r="AL59" s="36"/>
      <c r="AM59" s="37"/>
      <c r="AN59" s="38"/>
      <c r="AO59" s="36"/>
      <c r="AP59" s="37"/>
      <c r="AQ59" s="38"/>
      <c r="AR59" s="36"/>
      <c r="AS59" s="37"/>
      <c r="AT59" s="38"/>
      <c r="AU59" s="36"/>
      <c r="AV59" s="37"/>
      <c r="AW59" s="38"/>
      <c r="AX59" s="36"/>
      <c r="AY59" s="37"/>
      <c r="AZ59" s="38"/>
      <c r="BA59" s="36"/>
      <c r="BB59" s="37"/>
      <c r="BC59" s="38"/>
      <c r="BD59" s="36"/>
      <c r="BE59" s="37"/>
      <c r="BF59" s="38"/>
      <c r="BG59" s="36"/>
      <c r="BH59" s="37"/>
      <c r="BI59" s="38"/>
      <c r="BJ59" s="36"/>
      <c r="BK59" s="37"/>
      <c r="BL59" s="38"/>
      <c r="BM59" s="36"/>
      <c r="BN59" s="37"/>
      <c r="BO59" s="38"/>
      <c r="BP59" s="36"/>
      <c r="BQ59" s="37"/>
      <c r="BR59" s="38"/>
      <c r="BS59" s="36"/>
      <c r="BT59" s="37"/>
      <c r="BU59" s="38"/>
      <c r="BV59" s="36"/>
      <c r="BW59" s="37"/>
      <c r="BX59" s="38"/>
      <c r="BY59" s="36"/>
      <c r="BZ59" s="37"/>
      <c r="CA59" s="38"/>
      <c r="CB59" s="36"/>
      <c r="CC59" s="37"/>
      <c r="CD59" s="38"/>
      <c r="CE59" s="36"/>
      <c r="CF59" s="37"/>
      <c r="CG59" s="38"/>
      <c r="CH59" s="36"/>
      <c r="CI59" s="37"/>
      <c r="CJ59" s="38"/>
      <c r="CK59" s="36"/>
      <c r="CL59" s="37"/>
      <c r="CM59" s="38"/>
      <c r="CN59" s="36"/>
      <c r="CO59" s="37"/>
      <c r="CP59" s="38"/>
      <c r="CQ59" s="36"/>
      <c r="CR59" s="37"/>
      <c r="CS59" s="38"/>
      <c r="CT59" s="36"/>
      <c r="CU59" s="37"/>
      <c r="CV59" s="38"/>
      <c r="CW59" s="36"/>
      <c r="CX59" s="37"/>
      <c r="CY59" s="38"/>
      <c r="CZ59" s="36"/>
      <c r="DA59" s="37"/>
      <c r="DB59" s="38"/>
      <c r="DC59" s="36"/>
      <c r="DD59" s="37"/>
      <c r="DE59" s="38"/>
      <c r="DF59" s="36"/>
      <c r="DG59" s="37"/>
      <c r="DH59" s="38"/>
      <c r="DI59" s="36"/>
      <c r="DJ59" s="37"/>
      <c r="DK59" s="38"/>
      <c r="DL59" s="36"/>
      <c r="DM59" s="37"/>
      <c r="DN59" s="38"/>
      <c r="DO59" s="36"/>
      <c r="DP59" s="37"/>
      <c r="DQ59" s="38"/>
      <c r="DR59" s="36"/>
      <c r="DS59" s="37"/>
      <c r="DT59" s="38"/>
      <c r="DU59" s="36"/>
      <c r="DV59" s="37"/>
      <c r="DW59" s="38"/>
      <c r="DX59" s="36"/>
      <c r="DY59" s="37"/>
      <c r="DZ59" s="38"/>
      <c r="EA59" s="36"/>
      <c r="EB59" s="37"/>
      <c r="EC59" s="38"/>
      <c r="ED59" s="36"/>
      <c r="EE59" s="37"/>
      <c r="EF59" s="38"/>
      <c r="EG59" s="36"/>
      <c r="EH59" s="37"/>
      <c r="EI59" s="38"/>
      <c r="EJ59" s="36"/>
      <c r="EK59" s="37"/>
      <c r="EL59" s="38"/>
      <c r="EM59" s="36"/>
      <c r="EN59" s="37"/>
      <c r="EO59" s="38"/>
      <c r="EP59" s="36"/>
      <c r="EQ59" s="37"/>
      <c r="ER59" s="38"/>
      <c r="ES59" s="36"/>
      <c r="ET59" s="37"/>
      <c r="EU59" s="38"/>
      <c r="EV59" s="36"/>
      <c r="EW59" s="37"/>
      <c r="EX59" s="38"/>
      <c r="EY59" s="36"/>
      <c r="EZ59" s="37"/>
      <c r="FA59" s="38"/>
      <c r="FB59" s="36"/>
      <c r="FC59" s="37"/>
      <c r="FD59" s="38"/>
    </row>
    <row r="60" spans="1:160" x14ac:dyDescent="0.25">
      <c r="A60" s="32" t="s">
        <v>25</v>
      </c>
      <c r="B60" s="33">
        <f t="shared" si="2"/>
        <v>3</v>
      </c>
      <c r="C60" s="34">
        <f t="shared" si="2"/>
        <v>1</v>
      </c>
      <c r="D60" s="35">
        <f t="shared" si="2"/>
        <v>0</v>
      </c>
      <c r="E60" s="36">
        <v>1</v>
      </c>
      <c r="F60" s="37"/>
      <c r="G60" s="38"/>
      <c r="H60" s="36">
        <v>0</v>
      </c>
      <c r="I60" s="37"/>
      <c r="J60" s="38"/>
      <c r="K60" s="36">
        <v>1</v>
      </c>
      <c r="L60" s="37"/>
      <c r="M60" s="38"/>
      <c r="N60" s="36">
        <v>1</v>
      </c>
      <c r="O60" s="37"/>
      <c r="P60" s="38"/>
      <c r="Q60" s="29">
        <f>IFERROR(VLOOKUP($A60,'[1]05'!$A$4:$BH$96,54,FALSE),0)</f>
        <v>0</v>
      </c>
      <c r="R60" s="37">
        <f>IFERROR(VLOOKUP($A60,'[1]05'!$A$4:$BH$96,55,FALSE),0)</f>
        <v>1</v>
      </c>
      <c r="S60" s="38">
        <f>IFERROR(VLOOKUP($A60,'[1]05'!$A$4:$BH$96,56,FALSE),0)</f>
        <v>0</v>
      </c>
      <c r="T60" s="29">
        <f>IFERROR(VLOOKUP($A60,'[1]06'!$A$4:$BK$96,54,FALSE),0)</f>
        <v>0</v>
      </c>
      <c r="U60" s="37">
        <f>IFERROR(VLOOKUP($A60,'[1]06'!$A$4:$BK$96,56,FALSE),0)</f>
        <v>0</v>
      </c>
      <c r="V60" s="38">
        <f>IFERROR(VLOOKUP($A60,'[1]06'!$A$4:$BK$96,58,FALSE),0)</f>
        <v>0</v>
      </c>
      <c r="W60" s="29">
        <f>IFERROR(VLOOKUP($A60,'[1]06'!$A$4:$BK$96,54,FALSE),0)</f>
        <v>0</v>
      </c>
      <c r="X60" s="37">
        <f>IFERROR(VLOOKUP($A60,'[1]06'!$A$4:$BK$96,56,FALSE),0)</f>
        <v>0</v>
      </c>
      <c r="Y60" s="38">
        <f>IFERROR(VLOOKUP($A60,'[1]06'!$A$4:$BK$96,58,FALSE),0)</f>
        <v>0</v>
      </c>
      <c r="Z60" s="36"/>
      <c r="AA60" s="37"/>
      <c r="AB60" s="38"/>
      <c r="AC60" s="36"/>
      <c r="AD60" s="37"/>
      <c r="AE60" s="38"/>
      <c r="AF60" s="36"/>
      <c r="AG60" s="37"/>
      <c r="AH60" s="38"/>
      <c r="AI60" s="36"/>
      <c r="AJ60" s="37"/>
      <c r="AK60" s="38"/>
      <c r="AL60" s="36"/>
      <c r="AM60" s="37"/>
      <c r="AN60" s="38"/>
      <c r="AO60" s="36"/>
      <c r="AP60" s="37"/>
      <c r="AQ60" s="38"/>
      <c r="AR60" s="36"/>
      <c r="AS60" s="37"/>
      <c r="AT60" s="38"/>
      <c r="AU60" s="36"/>
      <c r="AV60" s="37"/>
      <c r="AW60" s="38"/>
      <c r="AX60" s="36"/>
      <c r="AY60" s="37"/>
      <c r="AZ60" s="38"/>
      <c r="BA60" s="36"/>
      <c r="BB60" s="37"/>
      <c r="BC60" s="38"/>
      <c r="BD60" s="36"/>
      <c r="BE60" s="37"/>
      <c r="BF60" s="38"/>
      <c r="BG60" s="36"/>
      <c r="BH60" s="37"/>
      <c r="BI60" s="38"/>
      <c r="BJ60" s="36"/>
      <c r="BK60" s="37"/>
      <c r="BL60" s="38"/>
      <c r="BM60" s="36"/>
      <c r="BN60" s="37"/>
      <c r="BO60" s="38"/>
      <c r="BP60" s="36"/>
      <c r="BQ60" s="37"/>
      <c r="BR60" s="38"/>
      <c r="BS60" s="36"/>
      <c r="BT60" s="37"/>
      <c r="BU60" s="38"/>
      <c r="BV60" s="36"/>
      <c r="BW60" s="37"/>
      <c r="BX60" s="38"/>
      <c r="BY60" s="36"/>
      <c r="BZ60" s="37"/>
      <c r="CA60" s="38"/>
      <c r="CB60" s="36"/>
      <c r="CC60" s="37"/>
      <c r="CD60" s="38"/>
      <c r="CE60" s="36"/>
      <c r="CF60" s="37"/>
      <c r="CG60" s="38"/>
      <c r="CH60" s="36"/>
      <c r="CI60" s="37"/>
      <c r="CJ60" s="38"/>
      <c r="CK60" s="36"/>
      <c r="CL60" s="37"/>
      <c r="CM60" s="38"/>
      <c r="CN60" s="36"/>
      <c r="CO60" s="37"/>
      <c r="CP60" s="38"/>
      <c r="CQ60" s="36"/>
      <c r="CR60" s="37"/>
      <c r="CS60" s="38"/>
      <c r="CT60" s="36"/>
      <c r="CU60" s="37"/>
      <c r="CV60" s="38"/>
      <c r="CW60" s="36"/>
      <c r="CX60" s="37"/>
      <c r="CY60" s="38"/>
      <c r="CZ60" s="36"/>
      <c r="DA60" s="37"/>
      <c r="DB60" s="38"/>
      <c r="DC60" s="36"/>
      <c r="DD60" s="37"/>
      <c r="DE60" s="38"/>
      <c r="DF60" s="36"/>
      <c r="DG60" s="37"/>
      <c r="DH60" s="38"/>
      <c r="DI60" s="36"/>
      <c r="DJ60" s="37"/>
      <c r="DK60" s="38"/>
      <c r="DL60" s="36"/>
      <c r="DM60" s="37"/>
      <c r="DN60" s="38"/>
      <c r="DO60" s="36"/>
      <c r="DP60" s="37"/>
      <c r="DQ60" s="38"/>
      <c r="DR60" s="36"/>
      <c r="DS60" s="37"/>
      <c r="DT60" s="38"/>
      <c r="DU60" s="36"/>
      <c r="DV60" s="37"/>
      <c r="DW60" s="38"/>
      <c r="DX60" s="36"/>
      <c r="DY60" s="37"/>
      <c r="DZ60" s="38"/>
      <c r="EA60" s="36"/>
      <c r="EB60" s="37"/>
      <c r="EC60" s="38"/>
      <c r="ED60" s="36"/>
      <c r="EE60" s="37"/>
      <c r="EF60" s="38"/>
      <c r="EG60" s="36"/>
      <c r="EH60" s="37"/>
      <c r="EI60" s="38"/>
      <c r="EJ60" s="36"/>
      <c r="EK60" s="37"/>
      <c r="EL60" s="38"/>
      <c r="EM60" s="36"/>
      <c r="EN60" s="37"/>
      <c r="EO60" s="38"/>
      <c r="EP60" s="36"/>
      <c r="EQ60" s="37"/>
      <c r="ER60" s="38"/>
      <c r="ES60" s="36"/>
      <c r="ET60" s="37"/>
      <c r="EU60" s="38"/>
      <c r="EV60" s="36"/>
      <c r="EW60" s="37"/>
      <c r="EX60" s="38"/>
      <c r="EY60" s="36"/>
      <c r="EZ60" s="37"/>
      <c r="FA60" s="38"/>
      <c r="FB60" s="36"/>
      <c r="FC60" s="37"/>
      <c r="FD60" s="38"/>
    </row>
    <row r="61" spans="1:160" x14ac:dyDescent="0.25">
      <c r="A61" s="32" t="s">
        <v>44</v>
      </c>
      <c r="B61" s="33">
        <f t="shared" si="2"/>
        <v>1</v>
      </c>
      <c r="C61" s="34">
        <f t="shared" si="2"/>
        <v>0</v>
      </c>
      <c r="D61" s="35">
        <f t="shared" si="2"/>
        <v>0</v>
      </c>
      <c r="E61" s="36">
        <v>1</v>
      </c>
      <c r="F61" s="37"/>
      <c r="G61" s="38"/>
      <c r="H61" s="36">
        <v>0</v>
      </c>
      <c r="I61" s="37"/>
      <c r="J61" s="38"/>
      <c r="K61" s="36">
        <v>0</v>
      </c>
      <c r="L61" s="37"/>
      <c r="M61" s="38"/>
      <c r="N61" s="36">
        <v>0</v>
      </c>
      <c r="O61" s="37"/>
      <c r="P61" s="38"/>
      <c r="Q61" s="29">
        <f>IFERROR(VLOOKUP($A61,'[1]05'!$A$4:$BH$96,54,FALSE),0)</f>
        <v>0</v>
      </c>
      <c r="R61" s="37">
        <f>IFERROR(VLOOKUP($A61,'[1]05'!$A$4:$BH$96,55,FALSE),0)</f>
        <v>0</v>
      </c>
      <c r="S61" s="38">
        <f>IFERROR(VLOOKUP($A61,'[1]05'!$A$4:$BH$96,56,FALSE),0)</f>
        <v>0</v>
      </c>
      <c r="T61" s="29">
        <f>IFERROR(VLOOKUP($A61,'[1]06'!$A$4:$BK$96,54,FALSE),0)</f>
        <v>0</v>
      </c>
      <c r="U61" s="37">
        <f>IFERROR(VLOOKUP($A61,'[1]06'!$A$4:$BK$96,56,FALSE),0)</f>
        <v>0</v>
      </c>
      <c r="V61" s="38">
        <f>IFERROR(VLOOKUP($A61,'[1]06'!$A$4:$BK$96,58,FALSE),0)</f>
        <v>0</v>
      </c>
      <c r="W61" s="29">
        <f>IFERROR(VLOOKUP($A61,'[1]06'!$A$4:$BK$96,54,FALSE),0)</f>
        <v>0</v>
      </c>
      <c r="X61" s="37">
        <f>IFERROR(VLOOKUP($A61,'[1]06'!$A$4:$BK$96,56,FALSE),0)</f>
        <v>0</v>
      </c>
      <c r="Y61" s="38">
        <f>IFERROR(VLOOKUP($A61,'[1]06'!$A$4:$BK$96,58,FALSE),0)</f>
        <v>0</v>
      </c>
      <c r="Z61" s="36"/>
      <c r="AA61" s="37"/>
      <c r="AB61" s="38"/>
      <c r="AC61" s="36"/>
      <c r="AD61" s="37"/>
      <c r="AE61" s="38"/>
      <c r="AF61" s="36"/>
      <c r="AG61" s="37"/>
      <c r="AH61" s="38"/>
      <c r="AI61" s="36"/>
      <c r="AJ61" s="37"/>
      <c r="AK61" s="38"/>
      <c r="AL61" s="36"/>
      <c r="AM61" s="37"/>
      <c r="AN61" s="38"/>
      <c r="AO61" s="36"/>
      <c r="AP61" s="37"/>
      <c r="AQ61" s="38"/>
      <c r="AR61" s="36"/>
      <c r="AS61" s="37"/>
      <c r="AT61" s="38"/>
      <c r="AU61" s="36"/>
      <c r="AV61" s="37"/>
      <c r="AW61" s="38"/>
      <c r="AX61" s="36"/>
      <c r="AY61" s="37"/>
      <c r="AZ61" s="38"/>
      <c r="BA61" s="36"/>
      <c r="BB61" s="37"/>
      <c r="BC61" s="38"/>
      <c r="BD61" s="36"/>
      <c r="BE61" s="37"/>
      <c r="BF61" s="38"/>
      <c r="BG61" s="36"/>
      <c r="BH61" s="37"/>
      <c r="BI61" s="38"/>
      <c r="BJ61" s="36"/>
      <c r="BK61" s="37"/>
      <c r="BL61" s="38"/>
      <c r="BM61" s="36"/>
      <c r="BN61" s="37"/>
      <c r="BO61" s="38"/>
      <c r="BP61" s="36"/>
      <c r="BQ61" s="37"/>
      <c r="BR61" s="38"/>
      <c r="BS61" s="36"/>
      <c r="BT61" s="37"/>
      <c r="BU61" s="38"/>
      <c r="BV61" s="36"/>
      <c r="BW61" s="37"/>
      <c r="BX61" s="38"/>
      <c r="BY61" s="36"/>
      <c r="BZ61" s="37"/>
      <c r="CA61" s="38"/>
      <c r="CB61" s="36"/>
      <c r="CC61" s="37"/>
      <c r="CD61" s="38"/>
      <c r="CE61" s="36"/>
      <c r="CF61" s="37"/>
      <c r="CG61" s="38"/>
      <c r="CH61" s="36"/>
      <c r="CI61" s="37"/>
      <c r="CJ61" s="38"/>
      <c r="CK61" s="36"/>
      <c r="CL61" s="37"/>
      <c r="CM61" s="38"/>
      <c r="CN61" s="36"/>
      <c r="CO61" s="37"/>
      <c r="CP61" s="38"/>
      <c r="CQ61" s="36"/>
      <c r="CR61" s="37"/>
      <c r="CS61" s="38"/>
      <c r="CT61" s="36"/>
      <c r="CU61" s="37"/>
      <c r="CV61" s="38"/>
      <c r="CW61" s="36"/>
      <c r="CX61" s="37"/>
      <c r="CY61" s="38"/>
      <c r="CZ61" s="36"/>
      <c r="DA61" s="37"/>
      <c r="DB61" s="38"/>
      <c r="DC61" s="36"/>
      <c r="DD61" s="37"/>
      <c r="DE61" s="38"/>
      <c r="DF61" s="36"/>
      <c r="DG61" s="37"/>
      <c r="DH61" s="38"/>
      <c r="DI61" s="36"/>
      <c r="DJ61" s="37"/>
      <c r="DK61" s="38"/>
      <c r="DL61" s="36"/>
      <c r="DM61" s="37"/>
      <c r="DN61" s="38"/>
      <c r="DO61" s="36"/>
      <c r="DP61" s="37"/>
      <c r="DQ61" s="38"/>
      <c r="DR61" s="36"/>
      <c r="DS61" s="37"/>
      <c r="DT61" s="38"/>
      <c r="DU61" s="36"/>
      <c r="DV61" s="37"/>
      <c r="DW61" s="38"/>
      <c r="DX61" s="36"/>
      <c r="DY61" s="37"/>
      <c r="DZ61" s="38"/>
      <c r="EA61" s="36"/>
      <c r="EB61" s="37"/>
      <c r="EC61" s="38"/>
      <c r="ED61" s="36"/>
      <c r="EE61" s="37"/>
      <c r="EF61" s="38"/>
      <c r="EG61" s="36"/>
      <c r="EH61" s="37"/>
      <c r="EI61" s="38"/>
      <c r="EJ61" s="36"/>
      <c r="EK61" s="37"/>
      <c r="EL61" s="38"/>
      <c r="EM61" s="36"/>
      <c r="EN61" s="37"/>
      <c r="EO61" s="38"/>
      <c r="EP61" s="36"/>
      <c r="EQ61" s="37"/>
      <c r="ER61" s="38"/>
      <c r="ES61" s="36"/>
      <c r="ET61" s="37"/>
      <c r="EU61" s="38"/>
      <c r="EV61" s="36"/>
      <c r="EW61" s="37"/>
      <c r="EX61" s="38"/>
      <c r="EY61" s="36"/>
      <c r="EZ61" s="37"/>
      <c r="FA61" s="38"/>
      <c r="FB61" s="36"/>
      <c r="FC61" s="37"/>
      <c r="FD61" s="38"/>
    </row>
    <row r="62" spans="1:160" ht="16.5" thickBot="1" x14ac:dyDescent="0.3">
      <c r="A62" s="39" t="s">
        <v>31</v>
      </c>
      <c r="B62" s="40">
        <f t="shared" si="2"/>
        <v>1</v>
      </c>
      <c r="C62" s="41">
        <f t="shared" si="2"/>
        <v>0</v>
      </c>
      <c r="D62" s="42">
        <f t="shared" si="2"/>
        <v>0</v>
      </c>
      <c r="E62" s="43">
        <v>0</v>
      </c>
      <c r="F62" s="44"/>
      <c r="G62" s="45"/>
      <c r="H62" s="43">
        <v>0</v>
      </c>
      <c r="I62" s="44"/>
      <c r="J62" s="45"/>
      <c r="K62" s="43">
        <v>1</v>
      </c>
      <c r="L62" s="44"/>
      <c r="M62" s="45"/>
      <c r="N62" s="43">
        <v>0</v>
      </c>
      <c r="O62" s="44"/>
      <c r="P62" s="45"/>
      <c r="Q62" s="46">
        <f>IFERROR(VLOOKUP($A62,'[1]05'!$A$4:$BH$96,54,FALSE),0)</f>
        <v>0</v>
      </c>
      <c r="R62" s="47">
        <f>IFERROR(VLOOKUP($A62,'[1]05'!$A$4:$BH$96,55,FALSE),0)</f>
        <v>0</v>
      </c>
      <c r="S62" s="48">
        <f>IFERROR(VLOOKUP($A62,'[1]05'!$A$4:$BH$96,56,FALSE),0)</f>
        <v>0</v>
      </c>
      <c r="T62" s="46">
        <f>IFERROR(VLOOKUP($A62,'[1]06'!$A$4:$BK$96,54,FALSE),0)</f>
        <v>0</v>
      </c>
      <c r="U62" s="47">
        <f>IFERROR(VLOOKUP($A62,'[1]06'!$A$4:$BK$96,56,FALSE),0)</f>
        <v>0</v>
      </c>
      <c r="V62" s="48">
        <f>IFERROR(VLOOKUP($A62,'[1]06'!$A$4:$BK$96,58,FALSE),0)</f>
        <v>0</v>
      </c>
      <c r="W62" s="46">
        <f>IFERROR(VLOOKUP($A62,'[1]06'!$A$4:$BK$96,54,FALSE),0)</f>
        <v>0</v>
      </c>
      <c r="X62" s="47">
        <f>IFERROR(VLOOKUP($A62,'[1]06'!$A$4:$BK$96,56,FALSE),0)</f>
        <v>0</v>
      </c>
      <c r="Y62" s="48">
        <f>IFERROR(VLOOKUP($A62,'[1]06'!$A$4:$BK$96,58,FALSE),0)</f>
        <v>0</v>
      </c>
      <c r="Z62" s="43"/>
      <c r="AA62" s="44"/>
      <c r="AB62" s="45"/>
      <c r="AC62" s="43"/>
      <c r="AD62" s="44"/>
      <c r="AE62" s="45"/>
      <c r="AF62" s="43"/>
      <c r="AG62" s="44"/>
      <c r="AH62" s="45"/>
      <c r="AI62" s="43"/>
      <c r="AJ62" s="44"/>
      <c r="AK62" s="45"/>
      <c r="AL62" s="43"/>
      <c r="AM62" s="44"/>
      <c r="AN62" s="45"/>
      <c r="AO62" s="43"/>
      <c r="AP62" s="44"/>
      <c r="AQ62" s="45"/>
      <c r="AR62" s="43"/>
      <c r="AS62" s="44"/>
      <c r="AT62" s="45"/>
      <c r="AU62" s="43"/>
      <c r="AV62" s="44"/>
      <c r="AW62" s="45"/>
      <c r="AX62" s="43"/>
      <c r="AY62" s="44"/>
      <c r="AZ62" s="45"/>
      <c r="BA62" s="43"/>
      <c r="BB62" s="44"/>
      <c r="BC62" s="45"/>
      <c r="BD62" s="43"/>
      <c r="BE62" s="44"/>
      <c r="BF62" s="45"/>
      <c r="BG62" s="43"/>
      <c r="BH62" s="44"/>
      <c r="BI62" s="45"/>
      <c r="BJ62" s="43"/>
      <c r="BK62" s="44"/>
      <c r="BL62" s="45"/>
      <c r="BM62" s="43"/>
      <c r="BN62" s="44"/>
      <c r="BO62" s="45"/>
      <c r="BP62" s="43"/>
      <c r="BQ62" s="44"/>
      <c r="BR62" s="45"/>
      <c r="BS62" s="43"/>
      <c r="BT62" s="44"/>
      <c r="BU62" s="45"/>
      <c r="BV62" s="43"/>
      <c r="BW62" s="44"/>
      <c r="BX62" s="45"/>
      <c r="BY62" s="43"/>
      <c r="BZ62" s="44"/>
      <c r="CA62" s="45"/>
      <c r="CB62" s="43"/>
      <c r="CC62" s="44"/>
      <c r="CD62" s="45"/>
      <c r="CE62" s="43"/>
      <c r="CF62" s="44"/>
      <c r="CG62" s="45"/>
      <c r="CH62" s="43"/>
      <c r="CI62" s="44"/>
      <c r="CJ62" s="45"/>
      <c r="CK62" s="43"/>
      <c r="CL62" s="44"/>
      <c r="CM62" s="45"/>
      <c r="CN62" s="43"/>
      <c r="CO62" s="44"/>
      <c r="CP62" s="45"/>
      <c r="CQ62" s="43"/>
      <c r="CR62" s="44"/>
      <c r="CS62" s="45"/>
      <c r="CT62" s="43"/>
      <c r="CU62" s="44"/>
      <c r="CV62" s="45"/>
      <c r="CW62" s="43"/>
      <c r="CX62" s="44"/>
      <c r="CY62" s="45"/>
      <c r="CZ62" s="43"/>
      <c r="DA62" s="44"/>
      <c r="DB62" s="45"/>
      <c r="DC62" s="43"/>
      <c r="DD62" s="44"/>
      <c r="DE62" s="45"/>
      <c r="DF62" s="43"/>
      <c r="DG62" s="44"/>
      <c r="DH62" s="45"/>
      <c r="DI62" s="43"/>
      <c r="DJ62" s="44"/>
      <c r="DK62" s="45"/>
      <c r="DL62" s="43"/>
      <c r="DM62" s="44"/>
      <c r="DN62" s="45"/>
      <c r="DO62" s="43"/>
      <c r="DP62" s="44"/>
      <c r="DQ62" s="45"/>
      <c r="DR62" s="43"/>
      <c r="DS62" s="44"/>
      <c r="DT62" s="45"/>
      <c r="DU62" s="43"/>
      <c r="DV62" s="44"/>
      <c r="DW62" s="45"/>
      <c r="DX62" s="43"/>
      <c r="DY62" s="44"/>
      <c r="DZ62" s="45"/>
      <c r="EA62" s="43"/>
      <c r="EB62" s="44"/>
      <c r="EC62" s="45"/>
      <c r="ED62" s="43"/>
      <c r="EE62" s="44"/>
      <c r="EF62" s="45"/>
      <c r="EG62" s="43"/>
      <c r="EH62" s="44"/>
      <c r="EI62" s="45"/>
      <c r="EJ62" s="43"/>
      <c r="EK62" s="44"/>
      <c r="EL62" s="45"/>
      <c r="EM62" s="43"/>
      <c r="EN62" s="44"/>
      <c r="EO62" s="45"/>
      <c r="EP62" s="43"/>
      <c r="EQ62" s="44"/>
      <c r="ER62" s="45"/>
      <c r="ES62" s="43"/>
      <c r="ET62" s="44"/>
      <c r="EU62" s="45"/>
      <c r="EV62" s="43"/>
      <c r="EW62" s="44"/>
      <c r="EX62" s="45"/>
      <c r="EY62" s="43"/>
      <c r="EZ62" s="44"/>
      <c r="FA62" s="45"/>
      <c r="FB62" s="43"/>
      <c r="FC62" s="44"/>
      <c r="FD62" s="45"/>
    </row>
    <row r="63" spans="1:160" ht="17.25" thickTop="1" thickBot="1" x14ac:dyDescent="0.3">
      <c r="Q63" s="49">
        <f t="shared" ref="Q63:Y63" si="3">SUM(Q4:Q62)</f>
        <v>34</v>
      </c>
      <c r="R63" s="50">
        <f t="shared" si="3"/>
        <v>28</v>
      </c>
      <c r="S63" s="51">
        <f t="shared" si="3"/>
        <v>8</v>
      </c>
      <c r="T63" s="49">
        <f t="shared" si="3"/>
        <v>0</v>
      </c>
      <c r="U63" s="50">
        <f t="shared" si="3"/>
        <v>0</v>
      </c>
      <c r="V63" s="51">
        <f t="shared" si="3"/>
        <v>0</v>
      </c>
      <c r="W63" s="49">
        <f t="shared" si="3"/>
        <v>0</v>
      </c>
      <c r="X63" s="50">
        <f t="shared" si="3"/>
        <v>0</v>
      </c>
      <c r="Y63" s="51">
        <f t="shared" si="3"/>
        <v>0</v>
      </c>
    </row>
  </sheetData>
  <mergeCells count="53"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  <mergeCell ref="BS2:BU2"/>
    <mergeCell ref="AL2:AN2"/>
    <mergeCell ref="AO2:AQ2"/>
    <mergeCell ref="AR2:AT2"/>
    <mergeCell ref="AU2:AW2"/>
    <mergeCell ref="AX2:AZ2"/>
    <mergeCell ref="BA2:BC2"/>
    <mergeCell ref="BD2:BF2"/>
    <mergeCell ref="BG2:BI2"/>
    <mergeCell ref="BJ2:BL2"/>
    <mergeCell ref="BM2:BO2"/>
    <mergeCell ref="BP2:BR2"/>
    <mergeCell ref="DC2:DE2"/>
    <mergeCell ref="BV2:BX2"/>
    <mergeCell ref="BY2:CA2"/>
    <mergeCell ref="CB2:CD2"/>
    <mergeCell ref="CE2:CG2"/>
    <mergeCell ref="CH2:CJ2"/>
    <mergeCell ref="CK2:CM2"/>
    <mergeCell ref="CN2:CP2"/>
    <mergeCell ref="CQ2:CS2"/>
    <mergeCell ref="CT2:CV2"/>
    <mergeCell ref="CW2:CY2"/>
    <mergeCell ref="CZ2:DB2"/>
    <mergeCell ref="EM2:EO2"/>
    <mergeCell ref="DF2:DH2"/>
    <mergeCell ref="DI2:DK2"/>
    <mergeCell ref="DL2:DN2"/>
    <mergeCell ref="DO2:DQ2"/>
    <mergeCell ref="DR2:DT2"/>
    <mergeCell ref="DU2:DW2"/>
    <mergeCell ref="DX2:DZ2"/>
    <mergeCell ref="EA2:EC2"/>
    <mergeCell ref="ED2:EF2"/>
    <mergeCell ref="EG2:EI2"/>
    <mergeCell ref="EJ2:EL2"/>
    <mergeCell ref="EP2:ER2"/>
    <mergeCell ref="ES2:EU2"/>
    <mergeCell ref="EV2:EX2"/>
    <mergeCell ref="EY2:FA2"/>
    <mergeCell ref="FB2:F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Administratif</vt:lpstr>
      <vt:lpstr>Import_GoogleForm</vt:lpstr>
      <vt:lpstr>Besoins</vt:lpstr>
      <vt:lpstr>Weekend</vt:lpstr>
      <vt:lpstr>Semaine</vt:lpstr>
      <vt:lpstr>RecapSemaine</vt:lpstr>
      <vt:lpstr>Stats</vt:lpstr>
      <vt:lpstr>Import_Nom</vt:lpstr>
    </vt:vector>
  </TitlesOfParts>
  <Company>Steria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LAMALLE Damien</dc:creator>
  <cp:lastModifiedBy>LAMALLE Damien</cp:lastModifiedBy>
  <dcterms:created xsi:type="dcterms:W3CDTF">2018-01-31T12:11:13Z</dcterms:created>
  <dcterms:modified xsi:type="dcterms:W3CDTF">2018-02-08T13:09:18Z</dcterms:modified>
</cp:coreProperties>
</file>